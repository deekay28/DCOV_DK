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ONENTS" sheetId="2" state="visible" r:id="rId4"/>
    <sheet name="LEGEND" sheetId="3" state="visible" r:id="rId5"/>
  </sheets>
  <definedNames>
    <definedName function="false" hidden="true" localSheetId="1" name="_xlnm._FilterDatabase" vbProcedure="false">COMPONENTS!$A$1:$Z$204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<sst xmlns="http://schemas.openxmlformats.org/spreadsheetml/2006/main" count="4392" uniqueCount="1336">
  <si>
    <t xml:space="preserve">DCOV SEED DATABASE - SUMMARY</t>
  </si>
  <si>
    <t xml:space="preserve">Metric</t>
  </si>
  <si>
    <t xml:space="preserve">Count</t>
  </si>
  <si>
    <t xml:space="preserve">Total components</t>
  </si>
  <si>
    <t xml:space="preserve">Chinese origin</t>
  </si>
  <si>
    <t xml:space="preserve">Non-Chinese origin</t>
  </si>
  <si>
    <t xml:space="preserve">Unknown origin</t>
  </si>
  <si>
    <t xml:space="preserve">Critical subsystems</t>
  </si>
  <si>
    <t xml:space="preserve">Chinese AND critical (escalate)</t>
  </si>
  <si>
    <t xml:space="preserve">All counts are live formulas over the COMPONENTS sheet - they update if you edit rows.</t>
  </si>
  <si>
    <t xml:space="preserve">COMPONENT ID</t>
  </si>
  <si>
    <t xml:space="preserve">COMPONENT NAME</t>
  </si>
  <si>
    <t xml:space="preserve">PART NUMBER</t>
  </si>
  <si>
    <t xml:space="preserve">CHIP NUMBER</t>
  </si>
  <si>
    <t xml:space="preserve">MANUFACTURER</t>
  </si>
  <si>
    <t xml:space="preserve">MANUFACTURER COUNTRY</t>
  </si>
  <si>
    <t xml:space="preserve">COUNTRY OF ORIGIN</t>
  </si>
  <si>
    <t xml:space="preserve">IS CHINESE</t>
  </si>
  <si>
    <t xml:space="preserve">CATEGORY</t>
  </si>
  <si>
    <t xml:space="preserve">DRONE SUBSYSTEM</t>
  </si>
  <si>
    <t xml:space="preserve">CRITICALITY</t>
  </si>
  <si>
    <t xml:space="preserve">CRITICALITY POLICY</t>
  </si>
  <si>
    <t xml:space="preserve">ALTERNATIVE MANUFACTURER</t>
  </si>
  <si>
    <t xml:space="preserve">MILITARY GRADE</t>
  </si>
  <si>
    <t xml:space="preserve">BARCODE</t>
  </si>
  <si>
    <t xml:space="preserve">QR CODE</t>
  </si>
  <si>
    <t xml:space="preserve">FUNCTION</t>
  </si>
  <si>
    <t xml:space="preserve">REMARKS</t>
  </si>
  <si>
    <t xml:space="preserve">IMAGE PATH</t>
  </si>
  <si>
    <t xml:space="preserve">DATASHEET URL</t>
  </si>
  <si>
    <t xml:space="preserve">SUPPLIER</t>
  </si>
  <si>
    <t xml:space="preserve">DATE ADDED</t>
  </si>
  <si>
    <t xml:space="preserve">LAST UPDATED</t>
  </si>
  <si>
    <t xml:space="preserve">VERIFIED BY</t>
  </si>
  <si>
    <t xml:space="preserve">VERIFICATION SOURCE</t>
  </si>
  <si>
    <t xml:space="preserve">CONFIDENCE SCORE</t>
  </si>
  <si>
    <t xml:space="preserve">ASSY-452F0312</t>
  </si>
  <si>
    <t xml:space="preserve">ADT and GDT Radio Modem</t>
  </si>
  <si>
    <t xml:space="preserve">MICROHARD SYSTEMS INC</t>
  </si>
  <si>
    <t xml:space="preserve">Canada</t>
  </si>
  <si>
    <t xml:space="preserve">NO</t>
  </si>
  <si>
    <t xml:space="preserve">Assembly / Module</t>
  </si>
  <si>
    <t xml:space="preserve">Radio Modem</t>
  </si>
  <si>
    <t xml:space="preserve">CRITICAL</t>
  </si>
  <si>
    <t xml:space="preserve">Chinese origin not acceptable except passive components not in the Tx/Rx chain</t>
  </si>
  <si>
    <t xml:space="preserve">Doodle Labs RM-2450-2J-XMC; Silvus SC4200P; Microhard pMDDL2450; RFDesign MODEM-RFD900x</t>
  </si>
  <si>
    <t xml:space="preserve">YES</t>
  </si>
  <si>
    <t xml:space="preserve">8908023191885</t>
  </si>
  <si>
    <t xml:space="preserve">DCOV:ASSY-452F0312:ADTANDGDTRADIOMODEM</t>
  </si>
  <si>
    <t xml:space="preserve">A/D converters and passive ICs in GDT/radio modems found to be of Chinese origin.</t>
  </si>
  <si>
    <t xml:space="preserve">2026-08-03</t>
  </si>
  <si>
    <t xml:space="preserve">Technical Inspection Team</t>
  </si>
  <si>
    <t xml:space="preserve">Component identification worksheet (COMP IDEN AND ORIGIN)</t>
  </si>
  <si>
    <t xml:space="preserve">90</t>
  </si>
  <si>
    <t xml:space="preserve">ASSY-F03F801A</t>
  </si>
  <si>
    <t xml:space="preserve">Auto Pilot</t>
  </si>
  <si>
    <t xml:space="preserve">CUBE PILOT GLOBAL PVT LTD</t>
  </si>
  <si>
    <t xml:space="preserve">Taiwan</t>
  </si>
  <si>
    <t xml:space="preserve">Flight Controller</t>
  </si>
  <si>
    <t xml:space="preserve">Chinese origin NOT acceptable</t>
  </si>
  <si>
    <t xml:space="preserve">CubePilot Cube Blue H7 (HX4-06154); ARK Electronics ARKV6X; ModalAI VOXL 2 (M0054); Auterion Skynode X</t>
  </si>
  <si>
    <t xml:space="preserve">8900008799222</t>
  </si>
  <si>
    <t xml:space="preserve">DCOV:ASSY-F03F801A:AUTOPILOT</t>
  </si>
  <si>
    <t xml:space="preserve">Controls the air vehicle, flight path and Tx/Rx of data. Mostly CubePilot variants (Australia) with Taiwan-sourced parts; indigenous FCUs also available.</t>
  </si>
  <si>
    <t xml:space="preserve">ASSY-C4270D1B</t>
  </si>
  <si>
    <t xml:space="preserve">CRPA</t>
  </si>
  <si>
    <t xml:space="preserve">INFINIDOME</t>
  </si>
  <si>
    <t xml:space="preserve">Israel</t>
  </si>
  <si>
    <t xml:space="preserve">8902812977070</t>
  </si>
  <si>
    <t xml:space="preserve">DCOV:ASSY-C4270D1B:CRPA</t>
  </si>
  <si>
    <t xml:space="preserve">STM32F4 microcontrollers found to be of Chinese origin.</t>
  </si>
  <si>
    <t xml:space="preserve">ASSY-9624354C</t>
  </si>
  <si>
    <t xml:space="preserve">Camera EO and IR</t>
  </si>
  <si>
    <t xml:space="preserve">NEXT VISION LTD</t>
  </si>
  <si>
    <t xml:space="preserve">Payload</t>
  </si>
  <si>
    <t xml:space="preserve">NON-CRITICAL</t>
  </si>
  <si>
    <t xml:space="preserve">Permitted</t>
  </si>
  <si>
    <t xml:space="preserve">8902916896123</t>
  </si>
  <si>
    <t xml:space="preserve">DCOV:ASSY-9624354C:CAMERAEOANDIR</t>
  </si>
  <si>
    <t xml:space="preserve">Certain image processors and encoders of Chinese origin.</t>
  </si>
  <si>
    <t xml:space="preserve">ASSY-935C7DDB</t>
  </si>
  <si>
    <t xml:space="preserve">Camera Encoder PCB</t>
  </si>
  <si>
    <t xml:space="preserve">TP-LINK SYSTEMS INC</t>
  </si>
  <si>
    <t xml:space="preserve">USA</t>
  </si>
  <si>
    <t xml:space="preserve">8907047480050</t>
  </si>
  <si>
    <t xml:space="preserve">DCOV:ASSY-935C7DDB:CAMERAENCODERPCB</t>
  </si>
  <si>
    <t xml:space="preserve">ASSY-0BEDB3DA</t>
  </si>
  <si>
    <t xml:space="preserve">ESC</t>
  </si>
  <si>
    <t xml:space="preserve">WELKINRIM TECHNOLOGIES PVT LTD</t>
  </si>
  <si>
    <t xml:space="preserve">India</t>
  </si>
  <si>
    <t xml:space="preserve">ARK-4IN1-ESC; ModalAI VOXL 4IN1 ESC (MDK-M0138-11-00); Ewing EAESC55v1.0</t>
  </si>
  <si>
    <t xml:space="preserve">8901400967585</t>
  </si>
  <si>
    <t xml:space="preserve">DCOV:ASSY-0BEDB3DA:ESC</t>
  </si>
  <si>
    <t xml:space="preserve">Some ESCs (e.g. Vertiq USA) contain STM32-series microcontrollers of Chinese-origin manufacture. Chipset cannot Tx/Rx data and embedded code cannot be remotely altered.</t>
  </si>
  <si>
    <t xml:space="preserve">ASSY-5DA6B158</t>
  </si>
  <si>
    <t xml:space="preserve">GCS</t>
  </si>
  <si>
    <t xml:space="preserve">ARDUINO</t>
  </si>
  <si>
    <t xml:space="preserve">Italy</t>
  </si>
  <si>
    <t xml:space="preserve">Chinese origin NOT acceptable. GETAC (Taiwan) and Panasonic (Japan) acceptable</t>
  </si>
  <si>
    <t xml:space="preserve">Panasonic TOUGHBOOK G2 (FZ-G2); Freefly Pilot Pro 950-00136; ModalAI Zorro Blue</t>
  </si>
  <si>
    <t xml:space="preserve">8903855046433</t>
  </si>
  <si>
    <t xml:space="preserve">DCOV:ASSY-5DA6B158:GCS</t>
  </si>
  <si>
    <t xml:space="preserve">Used for control, mission data upload and mission detail download.</t>
  </si>
  <si>
    <t xml:space="preserve">ASSY-AAE0BD76</t>
  </si>
  <si>
    <t xml:space="preserve">GDT/RVT Radio</t>
  </si>
  <si>
    <t xml:space="preserve">EXICOM TECHNOLOGIES</t>
  </si>
  <si>
    <t xml:space="preserve">8907155769795</t>
  </si>
  <si>
    <t xml:space="preserve">DCOV:ASSY-AAE0BD76:GDTRVTRADIO</t>
  </si>
  <si>
    <t xml:space="preserve">ASSY-198B64C0</t>
  </si>
  <si>
    <t xml:space="preserve">GPS + Compass</t>
  </si>
  <si>
    <t xml:space="preserve">GNSS Receiver</t>
  </si>
  <si>
    <t xml:space="preserve">ARK TESEO GPS; Septentrio mosaic-X5; Locus Lock LEO100 GNSS-SDR; CubePilot Here 4</t>
  </si>
  <si>
    <t xml:space="preserve">8900948235699</t>
  </si>
  <si>
    <t xml:space="preserve">DCOV:ASSY-198B64C0:GPSCOMPASS</t>
  </si>
  <si>
    <t xml:space="preserve">STM32G4A1KEU6 class ICs found to be of Chinese origin.</t>
  </si>
  <si>
    <t xml:space="preserve">ASSY-FCB0B887</t>
  </si>
  <si>
    <t xml:space="preserve">Modem Controller and Camera Encoder</t>
  </si>
  <si>
    <t xml:space="preserve">RASPBERRY PI LTD</t>
  </si>
  <si>
    <t xml:space="preserve">United Kingdom</t>
  </si>
  <si>
    <t xml:space="preserve">8907613713995</t>
  </si>
  <si>
    <t xml:space="preserve">DCOV:ASSY-FCB0B887:MODEMCONTROLLERANDCAMERAENCODER</t>
  </si>
  <si>
    <t xml:space="preserve">ASSY-3876B540</t>
  </si>
  <si>
    <t xml:space="preserve">Power Distribution Board</t>
  </si>
  <si>
    <t xml:space="preserve">PEREGRINE AEROSPACE PVT LTD</t>
  </si>
  <si>
    <t xml:space="preserve">8909224677826</t>
  </si>
  <si>
    <t xml:space="preserve">DCOV:ASSY-3876B540:POWERDISTRIBUTIONBOARD</t>
  </si>
  <si>
    <t xml:space="preserve">DC-DC converters found to contain Chinese components.</t>
  </si>
  <si>
    <t xml:space="preserve">ASSY-E5E365EA</t>
  </si>
  <si>
    <t xml:space="preserve">Power Module</t>
  </si>
  <si>
    <t xml:space="preserve">8903049816934</t>
  </si>
  <si>
    <t xml:space="preserve">DCOV:ASSY-E5E365EA:POWERMODULE</t>
  </si>
  <si>
    <t xml:space="preserve">CHIP-9D5A0938</t>
  </si>
  <si>
    <t xml:space="preserve">ADT and GDT Radio Modem - EFR32FG13P231HG</t>
  </si>
  <si>
    <t xml:space="preserve">EFR32FG13P231HG</t>
  </si>
  <si>
    <t xml:space="preserve">SILICON LABS</t>
  </si>
  <si>
    <t xml:space="preserve">Chip / IC</t>
  </si>
  <si>
    <t xml:space="preserve">8907665559718</t>
  </si>
  <si>
    <t xml:space="preserve">DCOV:CHIP-9D5A0938:EFR32FG13P231HG</t>
  </si>
  <si>
    <t xml:space="preserve">CHIP-781B2D50</t>
  </si>
  <si>
    <t xml:space="preserve">ADT and GDT Radio Modem - FM6903</t>
  </si>
  <si>
    <t xml:space="preserve">FM6903</t>
  </si>
  <si>
    <t xml:space="preserve">RF MICRO DEVICES</t>
  </si>
  <si>
    <t xml:space="preserve">8901571113910</t>
  </si>
  <si>
    <t xml:space="preserve">DCOV:CHIP-781B2D50:FM6903</t>
  </si>
  <si>
    <t xml:space="preserve">CHIP-9625A649</t>
  </si>
  <si>
    <t xml:space="preserve">ADT and GDT Radio Modem - MP243E</t>
  </si>
  <si>
    <t xml:space="preserve">MP243E</t>
  </si>
  <si>
    <t xml:space="preserve">TEXAS INSTRUMENTS</t>
  </si>
  <si>
    <t xml:space="preserve">8902857956030</t>
  </si>
  <si>
    <t xml:space="preserve">DCOV:CHIP-9625A649:MP243E</t>
  </si>
  <si>
    <t xml:space="preserve">CHIP-ABCFF90A</t>
  </si>
  <si>
    <t xml:space="preserve">ADT and GDT Radio Modem - SP330EEY</t>
  </si>
  <si>
    <t xml:space="preserve">SP330EEY</t>
  </si>
  <si>
    <t xml:space="preserve">EXAR CORPORATION</t>
  </si>
  <si>
    <t xml:space="preserve">8908997219080</t>
  </si>
  <si>
    <t xml:space="preserve">DCOV:CHIP-ABCFF90A:SP330EEY</t>
  </si>
  <si>
    <t xml:space="preserve">CHIP-328F5DF1</t>
  </si>
  <si>
    <t xml:space="preserve">ADT and GDT Radio Modem - TAIMAG HC-027 2340</t>
  </si>
  <si>
    <t xml:space="preserve">TAIMAG HC-027 2340</t>
  </si>
  <si>
    <t xml:space="preserve">TAIMAG CORPORATION</t>
  </si>
  <si>
    <t xml:space="preserve">8907625371046</t>
  </si>
  <si>
    <t xml:space="preserve">DCOV:CHIP-328F5DF1:TAIMAGHC0272340</t>
  </si>
  <si>
    <t xml:space="preserve">CHIP-67A2E64D</t>
  </si>
  <si>
    <t xml:space="preserve">Actuators for propeller - STM32F446RCT7</t>
  </si>
  <si>
    <t xml:space="preserve">STM32F446RCT7</t>
  </si>
  <si>
    <t xml:space="preserve">STMICROELECTRONICS</t>
  </si>
  <si>
    <t xml:space="preserve">China</t>
  </si>
  <si>
    <t xml:space="preserve">Propeller</t>
  </si>
  <si>
    <t xml:space="preserve">8907973341401</t>
  </si>
  <si>
    <t xml:space="preserve">DCOV:CHIP-67A2E64D:STM32F446RCT7</t>
  </si>
  <si>
    <t xml:space="preserve">Microcontroller</t>
  </si>
  <si>
    <t xml:space="preserve">COO China</t>
  </si>
  <si>
    <t xml:space="preserve">MKS Servos (Taiwan)</t>
  </si>
  <si>
    <t xml:space="preserve">Physical teardown - KEY OBSNS worksheet</t>
  </si>
  <si>
    <t xml:space="preserve">95</t>
  </si>
  <si>
    <t xml:space="preserve">CHIP-3BBF6094</t>
  </si>
  <si>
    <t xml:space="preserve">Air Speed Sensor - STM32G491KCU6</t>
  </si>
  <si>
    <t xml:space="preserve">STM32G491KCU6</t>
  </si>
  <si>
    <t xml:space="preserve">Sensors</t>
  </si>
  <si>
    <t xml:space="preserve">REVIEW</t>
  </si>
  <si>
    <t xml:space="preserve">Not classified in policy matrix - refer to inspecting authority</t>
  </si>
  <si>
    <t xml:space="preserve">8905442545763</t>
  </si>
  <si>
    <t xml:space="preserve">DCOV:CHIP-3BBF6094:STM32G491KCU6</t>
  </si>
  <si>
    <t xml:space="preserve">TrueSpeed V1.1 (Sierra Aerospace India)</t>
  </si>
  <si>
    <t xml:space="preserve">CHIP-2A14E602</t>
  </si>
  <si>
    <t xml:space="preserve">Auto Pilot Assy - EEPROM U-19</t>
  </si>
  <si>
    <t xml:space="preserve">EEPROM U-19</t>
  </si>
  <si>
    <t xml:space="preserve">UNKNOWN</t>
  </si>
  <si>
    <t xml:space="preserve">Unknown</t>
  </si>
  <si>
    <t xml:space="preserve">8907830862513</t>
  </si>
  <si>
    <t xml:space="preserve">DCOV:CHIP-2A14E602:EEPROMU19</t>
  </si>
  <si>
    <t xml:space="preserve">Memory</t>
  </si>
  <si>
    <t xml:space="preserve">Non-critical</t>
  </si>
  <si>
    <t xml:space="preserve">Auto Pilot Assy</t>
  </si>
  <si>
    <t xml:space="preserve">70</t>
  </si>
  <si>
    <t xml:space="preserve">CHIP-1D3B91B9</t>
  </si>
  <si>
    <t xml:space="preserve">CRPA - ADF4350</t>
  </si>
  <si>
    <t xml:space="preserve">ADF4350</t>
  </si>
  <si>
    <t xml:space="preserve">ANALOG DEVICES</t>
  </si>
  <si>
    <t xml:space="preserve">8900260193165</t>
  </si>
  <si>
    <t xml:space="preserve">DCOV:CHIP-1D3B91B9:ADF4350</t>
  </si>
  <si>
    <t xml:space="preserve">CHIP-DA31C5B4</t>
  </si>
  <si>
    <t xml:space="preserve">CRPA - MX25L12833F</t>
  </si>
  <si>
    <t xml:space="preserve">MX25L12833F</t>
  </si>
  <si>
    <t xml:space="preserve">MACRONIX</t>
  </si>
  <si>
    <t xml:space="preserve">8901317645064</t>
  </si>
  <si>
    <t xml:space="preserve">DCOV:CHIP-DA31C5B4:MX25L12833F</t>
  </si>
  <si>
    <t xml:space="preserve">CHIP-7DAFC5E1</t>
  </si>
  <si>
    <t xml:space="preserve">CRPA - STM32G484</t>
  </si>
  <si>
    <t xml:space="preserve">STM32G484</t>
  </si>
  <si>
    <t xml:space="preserve">Philippines</t>
  </si>
  <si>
    <t xml:space="preserve">8905720310663</t>
  </si>
  <si>
    <t xml:space="preserve">DCOV:CHIP-7DAFC5E1:STM32G484</t>
  </si>
  <si>
    <t xml:space="preserve">CHIP-888C7C3C</t>
  </si>
  <si>
    <t xml:space="preserve">CRPA Antenna - STM32F412RET6</t>
  </si>
  <si>
    <t xml:space="preserve">STM32F412RET6</t>
  </si>
  <si>
    <t xml:space="preserve">8904043611006</t>
  </si>
  <si>
    <t xml:space="preserve">DCOV:CHIP-888C7C3C:STM32F412RET6</t>
  </si>
  <si>
    <t xml:space="preserve">Heavybot4 (IO Tech)</t>
  </si>
  <si>
    <t xml:space="preserve">CHIP-253BBCA4</t>
  </si>
  <si>
    <t xml:space="preserve">CRPA GPS Board - H3 LB042BA 9BA2</t>
  </si>
  <si>
    <t xml:space="preserve">H3 LB042BA 9BA2</t>
  </si>
  <si>
    <t xml:space="preserve">ALLWINNER TECH</t>
  </si>
  <si>
    <t xml:space="preserve">8902370990849</t>
  </si>
  <si>
    <t xml:space="preserve">DCOV:CHIP-253BBCA4:H3LB042BA9BA2</t>
  </si>
  <si>
    <t xml:space="preserve">Volatile Memory</t>
  </si>
  <si>
    <t xml:space="preserve">Emlid (Hungary)</t>
  </si>
  <si>
    <t xml:space="preserve">CHIP-C72E4BAD</t>
  </si>
  <si>
    <t xml:space="preserve">Camera Encoder PCB - EN25Q16B-104HIP</t>
  </si>
  <si>
    <t xml:space="preserve">EN25Q16B-104HIP</t>
  </si>
  <si>
    <t xml:space="preserve">EON SILICON SOLUTION</t>
  </si>
  <si>
    <t xml:space="preserve">8903642114420</t>
  </si>
  <si>
    <t xml:space="preserve">DCOV:CHIP-C72E4BAD:EN25Q16B104HIP</t>
  </si>
  <si>
    <t xml:space="preserve">CHIP-DCF4D7FB</t>
  </si>
  <si>
    <t xml:space="preserve">Camera Encoder PCB - RTL8367S</t>
  </si>
  <si>
    <t xml:space="preserve">RTL8367S</t>
  </si>
  <si>
    <t xml:space="preserve">REALTEK</t>
  </si>
  <si>
    <t xml:space="preserve">8909132336846</t>
  </si>
  <si>
    <t xml:space="preserve">DCOV:CHIP-DCF4D7FB:RTL8367S</t>
  </si>
  <si>
    <t xml:space="preserve">CHIP-EFE78C8E</t>
  </si>
  <si>
    <t xml:space="preserve">Day Camera - TC58NYG0S3H</t>
  </si>
  <si>
    <t xml:space="preserve">TC58NYG0S3H</t>
  </si>
  <si>
    <t xml:space="preserve">KIOXIA/TOSHIBA</t>
  </si>
  <si>
    <t xml:space="preserve">8905325868590</t>
  </si>
  <si>
    <t xml:space="preserve">DCOV:CHIP-EFE78C8E:TC58NYG0S3H</t>
  </si>
  <si>
    <t xml:space="preserve">NAND Flash Memory</t>
  </si>
  <si>
    <t xml:space="preserve">Tamron</t>
  </si>
  <si>
    <t xml:space="preserve">CHIP-8CA7BDB2</t>
  </si>
  <si>
    <t xml:space="preserve">EO/IR Camera - M2516KLE</t>
  </si>
  <si>
    <t xml:space="preserve">M2516KLE</t>
  </si>
  <si>
    <t xml:space="preserve">MEDIATEK</t>
  </si>
  <si>
    <t xml:space="preserve">8904006538265</t>
  </si>
  <si>
    <t xml:space="preserve">DCOV:CHIP-8CA7BDB2:M2516KLE</t>
  </si>
  <si>
    <t xml:space="preserve">Low Power Controller</t>
  </si>
  <si>
    <t xml:space="preserve">TRB_L6D_ZDM (HWYL, India)</t>
  </si>
  <si>
    <t xml:space="preserve">CHIP-8FA6A0A7</t>
  </si>
  <si>
    <t xml:space="preserve">ESC - 34CFD3T LS01050</t>
  </si>
  <si>
    <t xml:space="preserve">34CFD3T LS01050</t>
  </si>
  <si>
    <t xml:space="preserve">8907797952357</t>
  </si>
  <si>
    <t xml:space="preserve">DCOV:CHIP-8FA6A0A7:34CFD3TLS01050</t>
  </si>
  <si>
    <t xml:space="preserve">CHIP-8B8FF0C3</t>
  </si>
  <si>
    <t xml:space="preserve">ESC - FDBL0630N150</t>
  </si>
  <si>
    <t xml:space="preserve">FDBL0630N150</t>
  </si>
  <si>
    <t xml:space="preserve">ONSEMI</t>
  </si>
  <si>
    <t xml:space="preserve">8904647412894</t>
  </si>
  <si>
    <t xml:space="preserve">DCOV:CHIP-8B8FF0C3:FDBL0630N150</t>
  </si>
  <si>
    <t xml:space="preserve">CHIP-E695F97C</t>
  </si>
  <si>
    <t xml:space="preserve">Electronic Speed Controller - Complete sealed assembly</t>
  </si>
  <si>
    <t xml:space="preserve">Complete sealed assembly</t>
  </si>
  <si>
    <t xml:space="preserve">HOBBY WING</t>
  </si>
  <si>
    <t xml:space="preserve">8908562710516</t>
  </si>
  <si>
    <t xml:space="preserve">DCOV:CHIP-E695F97C:COMPLETESEALEDASSEMBLY</t>
  </si>
  <si>
    <t xml:space="preserve">Hobbywing</t>
  </si>
  <si>
    <t xml:space="preserve">CHIP-0EDD0EAB</t>
  </si>
  <si>
    <t xml:space="preserve">Electronic Speed Controller - HAKRC</t>
  </si>
  <si>
    <t xml:space="preserve">HAKRC</t>
  </si>
  <si>
    <t xml:space="preserve">8905174852214</t>
  </si>
  <si>
    <t xml:space="preserve">DCOV:CHIP-0EDD0EAB:HAKRC</t>
  </si>
  <si>
    <t xml:space="preserve">CHIP-84868913</t>
  </si>
  <si>
    <t xml:space="preserve">Electronic Speed Controller - STM32F302C8T6</t>
  </si>
  <si>
    <t xml:space="preserve">STM32F302C8T6</t>
  </si>
  <si>
    <t xml:space="preserve">8900744390110</t>
  </si>
  <si>
    <t xml:space="preserve">DCOV:CHIP-84868913:STM32F302C8T6</t>
  </si>
  <si>
    <t xml:space="preserve">Ipremium</t>
  </si>
  <si>
    <t xml:space="preserve">CHIP-5ED5F141</t>
  </si>
  <si>
    <t xml:space="preserve">Engine Control Unit - STM32 (partial marking)</t>
  </si>
  <si>
    <t xml:space="preserve">STM32 (partial marking)</t>
  </si>
  <si>
    <t xml:space="preserve">Propulsion</t>
  </si>
  <si>
    <t xml:space="preserve">8903430970450</t>
  </si>
  <si>
    <t xml:space="preserve">DCOV:CHIP-5ED5F141:STM32PARTIALMARKING</t>
  </si>
  <si>
    <t xml:space="preserve">Microcontroller for ECU</t>
  </si>
  <si>
    <t xml:space="preserve">Skypower</t>
  </si>
  <si>
    <t xml:space="preserve">CHIP-48552487</t>
  </si>
  <si>
    <t xml:space="preserve">Ethernet Switch - Ethernet Switch</t>
  </si>
  <si>
    <t xml:space="preserve">Ethernet Switch</t>
  </si>
  <si>
    <t xml:space="preserve">MARVELL</t>
  </si>
  <si>
    <t xml:space="preserve">Chinese origin not acceptable in Tx/Rx chain</t>
  </si>
  <si>
    <t xml:space="preserve">8908803039802</t>
  </si>
  <si>
    <t xml:space="preserve">DCOV:CHIP-48552487:ETHERNETSWITCH</t>
  </si>
  <si>
    <t xml:space="preserve">Perle</t>
  </si>
  <si>
    <t xml:space="preserve">CHIP-85DEF33F</t>
  </si>
  <si>
    <t xml:space="preserve">Ethernet Switch - ST3268A</t>
  </si>
  <si>
    <t xml:space="preserve">ST3268A</t>
  </si>
  <si>
    <t xml:space="preserve">STCOMM</t>
  </si>
  <si>
    <t xml:space="preserve">8906129540460</t>
  </si>
  <si>
    <t xml:space="preserve">DCOV:CHIP-85DEF33F:ST3268A</t>
  </si>
  <si>
    <t xml:space="preserve">Controller IC</t>
  </si>
  <si>
    <t xml:space="preserve">Made in China</t>
  </si>
  <si>
    <t xml:space="preserve">BB-SEI-C-1 (M/s Kapek USA)</t>
  </si>
  <si>
    <t xml:space="preserve">CHIP-198658EE</t>
  </si>
  <si>
    <t xml:space="preserve">Flight Controller - STM32F405RGT6</t>
  </si>
  <si>
    <t xml:space="preserve">STM32F405RGT6</t>
  </si>
  <si>
    <t xml:space="preserve">8905081118694</t>
  </si>
  <si>
    <t xml:space="preserve">DCOV:CHIP-198658EE:STM32F405RGT6</t>
  </si>
  <si>
    <t xml:space="preserve">Orqa (Croatia)</t>
  </si>
  <si>
    <t xml:space="preserve">CHIP-F01A6C18</t>
  </si>
  <si>
    <t xml:space="preserve">GCS - ATMEGA16U2</t>
  </si>
  <si>
    <t xml:space="preserve">ATMEGA16U2</t>
  </si>
  <si>
    <t xml:space="preserve">ATMEL</t>
  </si>
  <si>
    <t xml:space="preserve">8904997986489</t>
  </si>
  <si>
    <t xml:space="preserve">DCOV:CHIP-F01A6C18:ATMEGA16U2</t>
  </si>
  <si>
    <t xml:space="preserve">CHIP-B45B6464</t>
  </si>
  <si>
    <t xml:space="preserve">GCS - ATSAM3X8E</t>
  </si>
  <si>
    <t xml:space="preserve">ATSAM3X8E</t>
  </si>
  <si>
    <t xml:space="preserve">MICROCHIP TECHNOLOGY INC</t>
  </si>
  <si>
    <t xml:space="preserve">8905442246806</t>
  </si>
  <si>
    <t xml:space="preserve">DCOV:CHIP-B45B6464:ATSAM3X8E</t>
  </si>
  <si>
    <t xml:space="preserve">CHIP-BE71E6CC</t>
  </si>
  <si>
    <t xml:space="preserve">GCS - MT28-XS002L</t>
  </si>
  <si>
    <t xml:space="preserve">MT28-XS002L</t>
  </si>
  <si>
    <t xml:space="preserve">HELING ELECTRONICS</t>
  </si>
  <si>
    <t xml:space="preserve">8903840112167</t>
  </si>
  <si>
    <t xml:space="preserve">DCOV:CHIP-BE71E6CC:MT28XS002L</t>
  </si>
  <si>
    <t xml:space="preserve">Pulse Transformer</t>
  </si>
  <si>
    <t xml:space="preserve">Argosdyne (South Korea)</t>
  </si>
  <si>
    <t xml:space="preserve">CHIP-53169D09</t>
  </si>
  <si>
    <t xml:space="preserve">GDT Radio - 65981ABI</t>
  </si>
  <si>
    <t xml:space="preserve">65981ABI</t>
  </si>
  <si>
    <t xml:space="preserve">8904494688534</t>
  </si>
  <si>
    <t xml:space="preserve">DCOV:CHIP-53169D09:65981ABI</t>
  </si>
  <si>
    <t xml:space="preserve">CHIP-25C9FCFC</t>
  </si>
  <si>
    <t xml:space="preserve">GDT Radio - CIRRUS 42L51C</t>
  </si>
  <si>
    <t xml:space="preserve">CIRRUS 42L51C</t>
  </si>
  <si>
    <t xml:space="preserve">CIRRUS LOGIC</t>
  </si>
  <si>
    <t xml:space="preserve">8905950631507</t>
  </si>
  <si>
    <t xml:space="preserve">DCOV:CHIP-25C9FCFC:CIRRUS42L51C</t>
  </si>
  <si>
    <t xml:space="preserve">CHIP-F5C9BB86</t>
  </si>
  <si>
    <t xml:space="preserve">GDT/RVT Radio - 2FAI5 RWI39</t>
  </si>
  <si>
    <t xml:space="preserve">2FAI5 RWI39</t>
  </si>
  <si>
    <t xml:space="preserve">MICRON TECHNOLOGY</t>
  </si>
  <si>
    <t xml:space="preserve">8908569985696</t>
  </si>
  <si>
    <t xml:space="preserve">DCOV:CHIP-F5C9BB86:2FAI5RWI39</t>
  </si>
  <si>
    <t xml:space="preserve">CHIP-AC040CD7</t>
  </si>
  <si>
    <t xml:space="preserve">GDT/RVT Radio - MRA923C4G-P</t>
  </si>
  <si>
    <t xml:space="preserve">MRA923C4G-P</t>
  </si>
  <si>
    <t xml:space="preserve">ALLIANCE MEMORY INC</t>
  </si>
  <si>
    <t xml:space="preserve">8906152773484</t>
  </si>
  <si>
    <t xml:space="preserve">DCOV:CHIP-AC040CD7:MRA923C4GP</t>
  </si>
  <si>
    <t xml:space="preserve">CHIP-C21541D9</t>
  </si>
  <si>
    <t xml:space="preserve">GDT/RVT Radio - XC7Z030</t>
  </si>
  <si>
    <t xml:space="preserve">XC7Z030</t>
  </si>
  <si>
    <t xml:space="preserve">XILINX</t>
  </si>
  <si>
    <t xml:space="preserve">8905987292962</t>
  </si>
  <si>
    <t xml:space="preserve">DCOV:CHIP-C21541D9:XC7Z030</t>
  </si>
  <si>
    <t xml:space="preserve">CHIP-C890DD89</t>
  </si>
  <si>
    <t xml:space="preserve">GNSS Receiver - STM32G4A1</t>
  </si>
  <si>
    <t xml:space="preserve">STM32G4A1</t>
  </si>
  <si>
    <t xml:space="preserve">8909827561904</t>
  </si>
  <si>
    <t xml:space="preserve">DCOV:CHIP-C890DD89:STM32G4A1</t>
  </si>
  <si>
    <t xml:space="preserve">Precision Point-Pro V1.1</t>
  </si>
  <si>
    <t xml:space="preserve">CHIP-D7535492</t>
  </si>
  <si>
    <t xml:space="preserve">GNSS Receiver - STM32G4A1KCU6</t>
  </si>
  <si>
    <t xml:space="preserve">STM32G4A1KCU6</t>
  </si>
  <si>
    <t xml:space="preserve">8905392565453</t>
  </si>
  <si>
    <t xml:space="preserve">DCOV:CHIP-D7535492:STM32G4A1KCU6</t>
  </si>
  <si>
    <t xml:space="preserve">TrueNavPro-G4 V1.1B</t>
  </si>
  <si>
    <t xml:space="preserve">CHIP-B9B47421</t>
  </si>
  <si>
    <t xml:space="preserve">GPS + Compass - 13156 PNI2GA330302</t>
  </si>
  <si>
    <t xml:space="preserve">13156 PNI2GA330302</t>
  </si>
  <si>
    <t xml:space="preserve">PNI SENSOR CORPORATION</t>
  </si>
  <si>
    <t xml:space="preserve">8902167789335</t>
  </si>
  <si>
    <t xml:space="preserve">DCOV:CHIP-B9B47421:13156PNI2GA330302</t>
  </si>
  <si>
    <t xml:space="preserve">CHIP-A8605044</t>
  </si>
  <si>
    <t xml:space="preserve">GPS + Compass - DAE J2347 MJ2</t>
  </si>
  <si>
    <t xml:space="preserve">DAE J2347 MJ2</t>
  </si>
  <si>
    <t xml:space="preserve">DAEJIN SEMICONDUCTOR</t>
  </si>
  <si>
    <t xml:space="preserve">South Korea</t>
  </si>
  <si>
    <t xml:space="preserve">8904764760274</t>
  </si>
  <si>
    <t xml:space="preserve">DCOV:CHIP-A8605044:DAEJ2347MJ2</t>
  </si>
  <si>
    <t xml:space="preserve">CHIP-E60B88C7</t>
  </si>
  <si>
    <t xml:space="preserve">GPS + Compass - STM32H757ZIY6</t>
  </si>
  <si>
    <t xml:space="preserve">STM32H757ZIY6</t>
  </si>
  <si>
    <t xml:space="preserve">8904958087774</t>
  </si>
  <si>
    <t xml:space="preserve">DCOV:CHIP-E60B88C7:STM32H757ZIY6</t>
  </si>
  <si>
    <t xml:space="preserve">CHIP-470B2BC8</t>
  </si>
  <si>
    <t xml:space="preserve">Modem Controller and Camera Encoder - BCM2711</t>
  </si>
  <si>
    <t xml:space="preserve">BCM2711</t>
  </si>
  <si>
    <t xml:space="preserve">BROADCOM INC</t>
  </si>
  <si>
    <t xml:space="preserve">8901001869394</t>
  </si>
  <si>
    <t xml:space="preserve">DCOV:CHIP-470B2BC8:BCM2711</t>
  </si>
  <si>
    <t xml:space="preserve">CHIP-6F489FED</t>
  </si>
  <si>
    <t xml:space="preserve">Modem Controller and Camera Encoder - VL805-Q6</t>
  </si>
  <si>
    <t xml:space="preserve">VL805-Q6</t>
  </si>
  <si>
    <t xml:space="preserve">VIA LABS INC</t>
  </si>
  <si>
    <t xml:space="preserve">8907716332154</t>
  </si>
  <si>
    <t xml:space="preserve">DCOV:CHIP-6F489FED:VL805Q6</t>
  </si>
  <si>
    <t xml:space="preserve">CHIP-C59E9F43</t>
  </si>
  <si>
    <t xml:space="preserve">Network Switch - H4801G</t>
  </si>
  <si>
    <t xml:space="preserve">H4801G</t>
  </si>
  <si>
    <t xml:space="preserve">E-NETTER</t>
  </si>
  <si>
    <t xml:space="preserve">8902856932561</t>
  </si>
  <si>
    <t xml:space="preserve">DCOV:CHIP-C59E9F43:H4801G</t>
  </si>
  <si>
    <t xml:space="preserve">Controller ICs found to be Shenzhen-sourced.</t>
  </si>
  <si>
    <t xml:space="preserve">5 Port Gigabit (M/s Power Integrations USA)</t>
  </si>
  <si>
    <t xml:space="preserve">CHIP-6B6F227A</t>
  </si>
  <si>
    <t xml:space="preserve">On Board Computer - RTL8119L</t>
  </si>
  <si>
    <t xml:space="preserve">RTL8119L</t>
  </si>
  <si>
    <t xml:space="preserve">On Board Computer</t>
  </si>
  <si>
    <t xml:space="preserve">NVIDIA Jetson Orin NX (900-13767-0000-0A0); Raspberry Pi 5 (RPI5-8GB-SINGLE); NextVision TRIP6</t>
  </si>
  <si>
    <t xml:space="preserve">8900386281760</t>
  </si>
  <si>
    <t xml:space="preserve">DCOV:CHIP-6B6F227A:RTL8119L</t>
  </si>
  <si>
    <t xml:space="preserve">Network Interface Controller</t>
  </si>
  <si>
    <t xml:space="preserve">Mostly NVIDIA Jetson variants of US origin, but WiFi module and DRAM/storage often of Chinese origin.</t>
  </si>
  <si>
    <t xml:space="preserve">NVIDIA Jetson Nano (USA)</t>
  </si>
  <si>
    <t xml:space="preserve">CHIP-BA0368EA</t>
  </si>
  <si>
    <t xml:space="preserve">Power Distribution Board - B340A</t>
  </si>
  <si>
    <t xml:space="preserve">B340A</t>
  </si>
  <si>
    <t xml:space="preserve">DIODES INCORPORATED</t>
  </si>
  <si>
    <t xml:space="preserve">8904843590907</t>
  </si>
  <si>
    <t xml:space="preserve">DCOV:CHIP-BA0368EA:B340A</t>
  </si>
  <si>
    <t xml:space="preserve">CHIP-D7DFB185</t>
  </si>
  <si>
    <t xml:space="preserve">Power Distribution Board - MP1584EN</t>
  </si>
  <si>
    <t xml:space="preserve">MP1584EN</t>
  </si>
  <si>
    <t xml:space="preserve">MONOLITHIC POWER SYSTEMS</t>
  </si>
  <si>
    <t xml:space="preserve">8905175329388</t>
  </si>
  <si>
    <t xml:space="preserve">DCOV:CHIP-D7DFB185:MP1584EN</t>
  </si>
  <si>
    <t xml:space="preserve">CHIP-3F83EFF3</t>
  </si>
  <si>
    <t xml:space="preserve">Power Module - B610 LT 0D30</t>
  </si>
  <si>
    <t xml:space="preserve">B610 LT 0D30</t>
  </si>
  <si>
    <t xml:space="preserve">8908239876095</t>
  </si>
  <si>
    <t xml:space="preserve">DCOV:CHIP-3F83EFF3:B610LT0D30</t>
  </si>
  <si>
    <t xml:space="preserve">CHIP-C368F8C5</t>
  </si>
  <si>
    <t xml:space="preserve">Power Module - INA169</t>
  </si>
  <si>
    <t xml:space="preserve">INA169</t>
  </si>
  <si>
    <t xml:space="preserve">LINEAR TECHNOLOGY</t>
  </si>
  <si>
    <t xml:space="preserve">8901622464220</t>
  </si>
  <si>
    <t xml:space="preserve">DCOV:CHIP-C368F8C5:INA169</t>
  </si>
  <si>
    <t xml:space="preserve">CHIP-0B8E8EC1</t>
  </si>
  <si>
    <t xml:space="preserve">Power Supply Board - STM32F412</t>
  </si>
  <si>
    <t xml:space="preserve">STM32F412</t>
  </si>
  <si>
    <t xml:space="preserve">8908660886519</t>
  </si>
  <si>
    <t xml:space="preserve">DCOV:CHIP-0B8E8EC1:STM32F412</t>
  </si>
  <si>
    <t xml:space="preserve">IO Tech (India)</t>
  </si>
  <si>
    <t xml:space="preserve">CHIP-C8C168E7</t>
  </si>
  <si>
    <t xml:space="preserve">Radio (GDT) - SD Card</t>
  </si>
  <si>
    <t xml:space="preserve">SD Card</t>
  </si>
  <si>
    <t xml:space="preserve">SANDISK</t>
  </si>
  <si>
    <t xml:space="preserve">8905622836230</t>
  </si>
  <si>
    <t xml:space="preserve">DCOV:CHIP-C8C168E7:SDCARD</t>
  </si>
  <si>
    <t xml:space="preserve">Storage Memory</t>
  </si>
  <si>
    <t xml:space="preserve">Domo Tactical Communications (UK)</t>
  </si>
  <si>
    <t xml:space="preserve">CHIP-1B3DC3C3</t>
  </si>
  <si>
    <t xml:space="preserve">Radio Modem - STM32F26830</t>
  </si>
  <si>
    <t xml:space="preserve">STM32F26830</t>
  </si>
  <si>
    <t xml:space="preserve">8909636477373</t>
  </si>
  <si>
    <t xml:space="preserve">DCOV:CHIP-1B3DC3C3:STM32F26830</t>
  </si>
  <si>
    <t xml:space="preserve">Picoradio-162 Rev 1.1</t>
  </si>
  <si>
    <t xml:space="preserve">CHIP-35958F15</t>
  </si>
  <si>
    <t xml:space="preserve">Radio Modem - STM32G030F6P6</t>
  </si>
  <si>
    <t xml:space="preserve">STM32G030F6P6</t>
  </si>
  <si>
    <t xml:space="preserve">8909689602258</t>
  </si>
  <si>
    <t xml:space="preserve">DCOV:CHIP-35958F15:STM32G030F6P6</t>
  </si>
  <si>
    <t xml:space="preserve">pMDDL1624 (M/s Kalpin Tech)</t>
  </si>
  <si>
    <t xml:space="preserve">CHIP-A1934526</t>
  </si>
  <si>
    <t xml:space="preserve">Radio Module (GDT and ADT) - CIRRUS 42L51CWP2211</t>
  </si>
  <si>
    <t xml:space="preserve">CIRRUS 42L51CWP2211</t>
  </si>
  <si>
    <t xml:space="preserve">8901043191446</t>
  </si>
  <si>
    <t xml:space="preserve">DCOV:CHIP-A1934526:CIRRUS42L51CWP2211</t>
  </si>
  <si>
    <t xml:space="preserve">A/D Converter</t>
  </si>
  <si>
    <t xml:space="preserve">Condor UL0087-HX (Exicom)</t>
  </si>
  <si>
    <t xml:space="preserve">CHIP-B340F929</t>
  </si>
  <si>
    <t xml:space="preserve">Receiver Module - FEMDRM016G-58A43</t>
  </si>
  <si>
    <t xml:space="preserve">FEMDRM016G-58A43</t>
  </si>
  <si>
    <t xml:space="preserve">FORESEE</t>
  </si>
  <si>
    <t xml:space="preserve">8902613146590</t>
  </si>
  <si>
    <t xml:space="preserve">DCOV:CHIP-B340F929:FEMDRM016G58A43</t>
  </si>
  <si>
    <t xml:space="preserve">Embedded storage</t>
  </si>
  <si>
    <t xml:space="preserve">CHIP-04995423</t>
  </si>
  <si>
    <t xml:space="preserve">Router - DRAM</t>
  </si>
  <si>
    <t xml:space="preserve">DRAM</t>
  </si>
  <si>
    <t xml:space="preserve">8907420005702</t>
  </si>
  <si>
    <t xml:space="preserve">DCOV:CHIP-04995423:DRAM</t>
  </si>
  <si>
    <t xml:space="preserve">Volatile Memory for system operation</t>
  </si>
  <si>
    <t xml:space="preserve">RB750G (Mikrotik, Latvia)</t>
  </si>
  <si>
    <t xml:space="preserve">CHIP-77110A3A</t>
  </si>
  <si>
    <t xml:space="preserve">SDR PCB - LPC4320FBD144</t>
  </si>
  <si>
    <t xml:space="preserve">LPC4320FBD144</t>
  </si>
  <si>
    <t xml:space="preserve">NXP SEMICONDUCTORS</t>
  </si>
  <si>
    <t xml:space="preserve">Other</t>
  </si>
  <si>
    <t xml:space="preserve">8905390862356</t>
  </si>
  <si>
    <t xml:space="preserve">DCOV:CHIP-77110A3A:LPC4320FBD144</t>
  </si>
  <si>
    <t xml:space="preserve">CHIP-21367B45</t>
  </si>
  <si>
    <t xml:space="preserve">SDR PCB - MAX2837</t>
  </si>
  <si>
    <t xml:space="preserve">MAX2837</t>
  </si>
  <si>
    <t xml:space="preserve">MAXIM INTEGRATED</t>
  </si>
  <si>
    <t xml:space="preserve">8901106148844</t>
  </si>
  <si>
    <t xml:space="preserve">DCOV:CHIP-21367B45:MAX2837</t>
  </si>
  <si>
    <t xml:space="preserve">CHIP-F97BAC18</t>
  </si>
  <si>
    <t xml:space="preserve">SDR PCB - SI5351 B224C6</t>
  </si>
  <si>
    <t xml:space="preserve">SI5351 B224C6</t>
  </si>
  <si>
    <t xml:space="preserve">8903448462862</t>
  </si>
  <si>
    <t xml:space="preserve">DCOV:CHIP-F97BAC18:SI5351B224C6</t>
  </si>
  <si>
    <t xml:space="preserve">CHIP-C958ED32</t>
  </si>
  <si>
    <t xml:space="preserve">SSD - 11850012BG</t>
  </si>
  <si>
    <t xml:space="preserve">11850012BG</t>
  </si>
  <si>
    <t xml:space="preserve">8909861530447</t>
  </si>
  <si>
    <t xml:space="preserve">DCOV:CHIP-C958ED32:11850012BG</t>
  </si>
  <si>
    <t xml:space="preserve">Non-volatile Memory</t>
  </si>
  <si>
    <t xml:space="preserve">WDS 25DG2G0C-00CD (Malaysia)</t>
  </si>
  <si>
    <t xml:space="preserve">CHIP-1D394899</t>
  </si>
  <si>
    <t xml:space="preserve">SSD - SDINBDG4-16G</t>
  </si>
  <si>
    <t xml:space="preserve">SDINBDG4-16G</t>
  </si>
  <si>
    <t xml:space="preserve">8905060629876</t>
  </si>
  <si>
    <t xml:space="preserve">DCOV:CHIP-1D394899:SDINBDG416G</t>
  </si>
  <si>
    <t xml:space="preserve">CHIP-EA15D542</t>
  </si>
  <si>
    <t xml:space="preserve">Trip2 Module (Streaming Device) - ADIN1300BCPZ</t>
  </si>
  <si>
    <t xml:space="preserve">ADIN1300BCPZ</t>
  </si>
  <si>
    <t xml:space="preserve">8900641842354</t>
  </si>
  <si>
    <t xml:space="preserve">DCOV:CHIP-EA15D542:ADIN1300BCPZ</t>
  </si>
  <si>
    <t xml:space="preserve">Low power single port Gigabit Ethernet PHY</t>
  </si>
  <si>
    <t xml:space="preserve">Trip 2 (NextVision)</t>
  </si>
  <si>
    <t xml:space="preserve">CHIP-010F232C</t>
  </si>
  <si>
    <t xml:space="preserve">USB to HDMI Converter - MS1224</t>
  </si>
  <si>
    <t xml:space="preserve">MS1224</t>
  </si>
  <si>
    <t xml:space="preserve">MACRO SILICON</t>
  </si>
  <si>
    <t xml:space="preserve">8902335286680</t>
  </si>
  <si>
    <t xml:space="preserve">DCOV:CHIP-010F232C:MS1224</t>
  </si>
  <si>
    <t xml:space="preserve">Digital Video Encoding</t>
  </si>
  <si>
    <t xml:space="preserve">SFX_HDMI_VC_V1.6</t>
  </si>
  <si>
    <t xml:space="preserve">CHIP-8E8FEA17</t>
  </si>
  <si>
    <t xml:space="preserve">Video Receiver (VRx) - STM32F302K8</t>
  </si>
  <si>
    <t xml:space="preserve">STM32F302K8</t>
  </si>
  <si>
    <t xml:space="preserve">8904565422517</t>
  </si>
  <si>
    <t xml:space="preserve">DCOV:CHIP-8E8FEA17:STM32F302K8</t>
  </si>
  <si>
    <t xml:space="preserve">Orqa</t>
  </si>
  <si>
    <t xml:space="preserve">WATCH-23AA42E0</t>
  </si>
  <si>
    <t xml:space="preserve">Watchlist IC - ADIN1300BCPZ</t>
  </si>
  <si>
    <t xml:space="preserve">VARIOUS (CHINA-ASSEMBLED)</t>
  </si>
  <si>
    <t xml:space="preserve">8904066843071</t>
  </si>
  <si>
    <t xml:space="preserve">DCOV:WATCH-23AA42E0:ADIN1300BCPZ</t>
  </si>
  <si>
    <t xml:space="preserve">On the standing Chinese-IC watchlist. Typically found in: Camera Streaming Device</t>
  </si>
  <si>
    <t xml:space="preserve">COMMON CHINESE watchlist</t>
  </si>
  <si>
    <t xml:space="preserve">98</t>
  </si>
  <si>
    <t xml:space="preserve">WATCH-81CC44E8</t>
  </si>
  <si>
    <t xml:space="preserve">Watchlist IC - AT7456</t>
  </si>
  <si>
    <t xml:space="preserve">AT7456</t>
  </si>
  <si>
    <t xml:space="preserve">8900253650705</t>
  </si>
  <si>
    <t xml:space="preserve">DCOV:WATCH-81CC44E8:AT7456</t>
  </si>
  <si>
    <t xml:space="preserve">On the standing Chinese-IC watchlist. Typically found in: GCS</t>
  </si>
  <si>
    <t xml:space="preserve">WATCH-1B9BBC5D</t>
  </si>
  <si>
    <t xml:space="preserve">Watchlist IC - ESP32</t>
  </si>
  <si>
    <t xml:space="preserve">ESP32</t>
  </si>
  <si>
    <t xml:space="preserve">8904172174052</t>
  </si>
  <si>
    <t xml:space="preserve">DCOV:WATCH-1B9BBC5D:ESP32</t>
  </si>
  <si>
    <t xml:space="preserve">On the standing Chinese-IC watchlist. Typically found in: Wireless connectivity for GCS</t>
  </si>
  <si>
    <t xml:space="preserve">WATCH-488C32A5</t>
  </si>
  <si>
    <t xml:space="preserve">Watchlist IC - FEMDRM016G-58A43</t>
  </si>
  <si>
    <t xml:space="preserve">8901862795368</t>
  </si>
  <si>
    <t xml:space="preserve">DCOV:WATCH-488C32A5:FEMDRM016G58A43</t>
  </si>
  <si>
    <t xml:space="preserve">On the standing Chinese-IC watchlist. Typically found in: Receiver Module</t>
  </si>
  <si>
    <t xml:space="preserve">WATCH-A109843B</t>
  </si>
  <si>
    <t xml:space="preserve">Watchlist IC - H3 LB042BA 9BA2</t>
  </si>
  <si>
    <t xml:space="preserve">8906955022284</t>
  </si>
  <si>
    <t xml:space="preserve">DCOV:WATCH-A109843B:H3LB042BA9BA2</t>
  </si>
  <si>
    <t xml:space="preserve">On the standing Chinese-IC watchlist. Typically found in: CRPA</t>
  </si>
  <si>
    <t xml:space="preserve">WATCH-C5BDD57B</t>
  </si>
  <si>
    <t xml:space="preserve">Watchlist IC - H4801G</t>
  </si>
  <si>
    <t xml:space="preserve">8909655717962</t>
  </si>
  <si>
    <t xml:space="preserve">DCOV:WATCH-C5BDD57B:H4801G</t>
  </si>
  <si>
    <t xml:space="preserve">On the standing Chinese-IC watchlist. Typically found in: Network Switch</t>
  </si>
  <si>
    <t xml:space="preserve">WATCH-D12AB5B3</t>
  </si>
  <si>
    <t xml:space="preserve">Watchlist IC - M2516KLE</t>
  </si>
  <si>
    <t xml:space="preserve">8905210550456</t>
  </si>
  <si>
    <t xml:space="preserve">DCOV:WATCH-D12AB5B3:M2516KLE</t>
  </si>
  <si>
    <t xml:space="preserve">On the standing Chinese-IC watchlist. Typically found in: EO/IR Camera</t>
  </si>
  <si>
    <t xml:space="preserve">WATCH-BAC27639</t>
  </si>
  <si>
    <t xml:space="preserve">Watchlist IC - MS1224</t>
  </si>
  <si>
    <t xml:space="preserve">8900501677454</t>
  </si>
  <si>
    <t xml:space="preserve">DCOV:WATCH-BAC27639:MS1224</t>
  </si>
  <si>
    <t xml:space="preserve">On the standing Chinese-IC watchlist. Typically found in: Ethernet to OFC Converter</t>
  </si>
  <si>
    <t xml:space="preserve">WATCH-18E6A921</t>
  </si>
  <si>
    <t xml:space="preserve">Watchlist IC - MT28-XS002</t>
  </si>
  <si>
    <t xml:space="preserve">MT28-XS002</t>
  </si>
  <si>
    <t xml:space="preserve">8908883779469</t>
  </si>
  <si>
    <t xml:space="preserve">DCOV:WATCH-18E6A921:MT28XS002</t>
  </si>
  <si>
    <t xml:space="preserve">On the standing Chinese-IC watchlist. Typically found in: GCS - Ethernet Transformer</t>
  </si>
  <si>
    <t xml:space="preserve">WATCH-0AA8264E</t>
  </si>
  <si>
    <t xml:space="preserve">Watchlist IC - RTL8119L</t>
  </si>
  <si>
    <t xml:space="preserve">8903190646671</t>
  </si>
  <si>
    <t xml:space="preserve">DCOV:WATCH-0AA8264E:RTL8119L</t>
  </si>
  <si>
    <t xml:space="preserve">On the standing Chinese-IC watchlist. Typically found in: WiFi Module on NVIDIA Jetson Nano</t>
  </si>
  <si>
    <t xml:space="preserve">WATCH-AF73AB88</t>
  </si>
  <si>
    <t xml:space="preserve">Watchlist IC - RTL8822CE</t>
  </si>
  <si>
    <t xml:space="preserve">RTL8822CE</t>
  </si>
  <si>
    <t xml:space="preserve">8905736433523</t>
  </si>
  <si>
    <t xml:space="preserve">DCOV:WATCH-AF73AB88:RTL8822CE</t>
  </si>
  <si>
    <t xml:space="preserve">On the standing Chinese-IC watchlist. Typically found in: WiFi Module on NVIDIA Jetson Orin Nano</t>
  </si>
  <si>
    <t xml:space="preserve">WATCH-13D13108</t>
  </si>
  <si>
    <t xml:space="preserve">Watchlist IC - SDINBDG4-16G</t>
  </si>
  <si>
    <t xml:space="preserve">8904549280812</t>
  </si>
  <si>
    <t xml:space="preserve">DCOV:WATCH-13D13108:SDINBDG416G</t>
  </si>
  <si>
    <t xml:space="preserve">On the standing Chinese-IC watchlist. Typically found in: Memory Storage on NVIDIA Jetson Nano</t>
  </si>
  <si>
    <t xml:space="preserve">WATCH-3B1B86FB</t>
  </si>
  <si>
    <t xml:space="preserve">Watchlist IC - STM32F030CCT6</t>
  </si>
  <si>
    <t xml:space="preserve">STM32F030CCT6</t>
  </si>
  <si>
    <t xml:space="preserve">8907050760156</t>
  </si>
  <si>
    <t xml:space="preserve">DCOV:WATCH-3B1B86FB:STM32F030CCT6</t>
  </si>
  <si>
    <t xml:space="preserve">On the standing Chinese-IC watchlist. Typically found in: Video Receiver Module</t>
  </si>
  <si>
    <t xml:space="preserve">WATCH-C9BAF830</t>
  </si>
  <si>
    <t xml:space="preserve">Watchlist IC - STM32F103C8T6</t>
  </si>
  <si>
    <t xml:space="preserve">STM32F103C8T6</t>
  </si>
  <si>
    <t xml:space="preserve">8908743937800</t>
  </si>
  <si>
    <t xml:space="preserve">DCOV:WATCH-C9BAF830:STM32F103C8T6</t>
  </si>
  <si>
    <t xml:space="preserve">On the standing Chinese-IC watchlist. Typically found in: GCS, Baro Board, FCS</t>
  </si>
  <si>
    <t xml:space="preserve">WATCH-588BB8C3</t>
  </si>
  <si>
    <t xml:space="preserve">Watchlist IC - STM32F26830</t>
  </si>
  <si>
    <t xml:space="preserve">8900389053265</t>
  </si>
  <si>
    <t xml:space="preserve">DCOV:WATCH-588BB8C3:STM32F26830</t>
  </si>
  <si>
    <t xml:space="preserve">On the standing Chinese-IC watchlist. Typically found in: GNSS Receiver</t>
  </si>
  <si>
    <t xml:space="preserve">WATCH-2C2046CF</t>
  </si>
  <si>
    <t xml:space="preserve">Watchlist IC - STM32F302C8T6</t>
  </si>
  <si>
    <t xml:space="preserve">8902243434609</t>
  </si>
  <si>
    <t xml:space="preserve">DCOV:WATCH-2C2046CF:STM32F302C8T6</t>
  </si>
  <si>
    <t xml:space="preserve">On the standing Chinese-IC watchlist. Typically found in: GCS, Baro Board, FCS, ESC (Vertiq/Falcon 120x models)</t>
  </si>
  <si>
    <t xml:space="preserve">WATCH-C50F40B9</t>
  </si>
  <si>
    <t xml:space="preserve">Watchlist IC - STM32F405RGT6</t>
  </si>
  <si>
    <t xml:space="preserve">8906400883316</t>
  </si>
  <si>
    <t xml:space="preserve">DCOV:WATCH-C50F40B9:STM32F405RGT6</t>
  </si>
  <si>
    <t xml:space="preserve">WATCH-0F269B33</t>
  </si>
  <si>
    <t xml:space="preserve">Watchlist IC - STM32F412Z6T6</t>
  </si>
  <si>
    <t xml:space="preserve">STM32F412Z6T6</t>
  </si>
  <si>
    <t xml:space="preserve">8901997127638</t>
  </si>
  <si>
    <t xml:space="preserve">DCOV:WATCH-0F269B33:STM32F412Z6T6</t>
  </si>
  <si>
    <t xml:space="preserve">On the standing Chinese-IC watchlist. Typically found in: Power Supply</t>
  </si>
  <si>
    <t xml:space="preserve">WATCH-A98F6BA7</t>
  </si>
  <si>
    <t xml:space="preserve">Watchlist IC - STM32F446RCT7</t>
  </si>
  <si>
    <t xml:space="preserve">8909639993726</t>
  </si>
  <si>
    <t xml:space="preserve">DCOV:WATCH-A98F6BA7:STM32F446RCT7</t>
  </si>
  <si>
    <t xml:space="preserve">On the standing Chinese-IC watchlist. Typically found in: Servo</t>
  </si>
  <si>
    <t xml:space="preserve">WATCH-9C8BD471</t>
  </si>
  <si>
    <t xml:space="preserve">Watchlist IC - STM32F722</t>
  </si>
  <si>
    <t xml:space="preserve">STM32F722</t>
  </si>
  <si>
    <t xml:space="preserve">8900513444976</t>
  </si>
  <si>
    <t xml:space="preserve">DCOV:WATCH-9C8BD471:STM32F722</t>
  </si>
  <si>
    <t xml:space="preserve">On the standing Chinese-IC watchlist. Typically found in: GCS, FCS</t>
  </si>
  <si>
    <t xml:space="preserve">WATCH-0956466C</t>
  </si>
  <si>
    <t xml:space="preserve">Watchlist IC - STM32G030F6P6</t>
  </si>
  <si>
    <t xml:space="preserve">8905957595376</t>
  </si>
  <si>
    <t xml:space="preserve">DCOV:WATCH-0956466C:STM32G030F6P6</t>
  </si>
  <si>
    <t xml:space="preserve">On the standing Chinese-IC watchlist. Typically found in: Radio Modem</t>
  </si>
  <si>
    <t xml:space="preserve">WATCH-2B431FFC</t>
  </si>
  <si>
    <t xml:space="preserve">Watchlist IC - STM32G491KCU6</t>
  </si>
  <si>
    <t xml:space="preserve">8901744882643</t>
  </si>
  <si>
    <t xml:space="preserve">DCOV:WATCH-2B431FFC:STM32G491KCU6</t>
  </si>
  <si>
    <t xml:space="preserve">WATCH-A0437ED1</t>
  </si>
  <si>
    <t xml:space="preserve">Watchlist IC - STM32G4A1KCU6</t>
  </si>
  <si>
    <t xml:space="preserve">8906124277033</t>
  </si>
  <si>
    <t xml:space="preserve">DCOV:WATCH-A0437ED1:STM32G4A1KCU6</t>
  </si>
  <si>
    <t xml:space="preserve">WATCH-6E101A70</t>
  </si>
  <si>
    <t xml:space="preserve">Watchlist IC - YT8531C</t>
  </si>
  <si>
    <t xml:space="preserve">YT8531C</t>
  </si>
  <si>
    <t xml:space="preserve">8908539742977</t>
  </si>
  <si>
    <t xml:space="preserve">DCOV:WATCH-6E101A70:YT8531C</t>
  </si>
  <si>
    <t xml:space="preserve">CHIP-5DC3664A</t>
  </si>
  <si>
    <t xml:space="preserve">Wifi Module - RTL8822CE</t>
  </si>
  <si>
    <t xml:space="preserve">8905979329089</t>
  </si>
  <si>
    <t xml:space="preserve">DCOV:CHIP-5DC3664A:RTL8822CE</t>
  </si>
  <si>
    <t xml:space="preserve">WiFi Module</t>
  </si>
  <si>
    <t xml:space="preserve">NVIDIA Jetson Orin Nano</t>
  </si>
  <si>
    <t xml:space="preserve">OEM-6B967065</t>
  </si>
  <si>
    <t xml:space="preserve">Antenna - Aquatronics</t>
  </si>
  <si>
    <t xml:space="preserve">Aquatronics</t>
  </si>
  <si>
    <t xml:space="preserve">AQUATRONICS</t>
  </si>
  <si>
    <t xml:space="preserve">OEM / LRU</t>
  </si>
  <si>
    <t xml:space="preserve">Antenna</t>
  </si>
  <si>
    <t xml:space="preserve">8902859564288</t>
  </si>
  <si>
    <t xml:space="preserve">DCOV:OEM-6B967065:AQUATRONICS</t>
  </si>
  <si>
    <t xml:space="preserve">No smart components. Omni/directional antennae in GDT may contain Chinese parts.</t>
  </si>
  <si>
    <t xml:space="preserve">Procurement Cell</t>
  </si>
  <si>
    <t xml:space="preserve">OEM landscape (DRONE AND LM PARTS)</t>
  </si>
  <si>
    <t xml:space="preserve">85</t>
  </si>
  <si>
    <t xml:space="preserve">OEM-2A31FF42</t>
  </si>
  <si>
    <t xml:space="preserve">Antenna - Doodle Labs</t>
  </si>
  <si>
    <t xml:space="preserve">Doodle Labs</t>
  </si>
  <si>
    <t xml:space="preserve">DOODLE LABS</t>
  </si>
  <si>
    <t xml:space="preserve">Singapore</t>
  </si>
  <si>
    <t xml:space="preserve">8909436489903</t>
  </si>
  <si>
    <t xml:space="preserve">DCOV:OEM-2A31FF42:DOODLELABS</t>
  </si>
  <si>
    <t xml:space="preserve">OEM-6A8D8420</t>
  </si>
  <si>
    <t xml:space="preserve">Antenna - Exicom Technologies</t>
  </si>
  <si>
    <t xml:space="preserve">Exicom Technologies</t>
  </si>
  <si>
    <t xml:space="preserve">8908479520291</t>
  </si>
  <si>
    <t xml:space="preserve">DCOV:OEM-6A8D8420:EXICOMTECHNOLOGIES</t>
  </si>
  <si>
    <t xml:space="preserve">OEM-FE2E1044</t>
  </si>
  <si>
    <t xml:space="preserve">Antenna - IO Tech</t>
  </si>
  <si>
    <t xml:space="preserve">IO Tech</t>
  </si>
  <si>
    <t xml:space="preserve">IO TECH</t>
  </si>
  <si>
    <t xml:space="preserve">8902815371455</t>
  </si>
  <si>
    <t xml:space="preserve">DCOV:OEM-FE2E1044:IOTECH</t>
  </si>
  <si>
    <t xml:space="preserve">OEM-5CD1DF5D</t>
  </si>
  <si>
    <t xml:space="preserve">Antenna - Optiemus Unmanned Sys</t>
  </si>
  <si>
    <t xml:space="preserve">Optiemus Unmanned Sys</t>
  </si>
  <si>
    <t xml:space="preserve">OPTIEMUS UNMANNED SYS</t>
  </si>
  <si>
    <t xml:space="preserve">8908770782770</t>
  </si>
  <si>
    <t xml:space="preserve">DCOV:OEM-5CD1DF5D:OPTIEMUSUNMANNEDSYS</t>
  </si>
  <si>
    <t xml:space="preserve">OEM-3F2E2CD1</t>
  </si>
  <si>
    <t xml:space="preserve">Antenna - RF Design</t>
  </si>
  <si>
    <t xml:space="preserve">RF Design</t>
  </si>
  <si>
    <t xml:space="preserve">RF DESIGN</t>
  </si>
  <si>
    <t xml:space="preserve">Australia</t>
  </si>
  <si>
    <t xml:space="preserve">8908593394037</t>
  </si>
  <si>
    <t xml:space="preserve">DCOV:OEM-3F2E2CD1:RFDESIGN</t>
  </si>
  <si>
    <t xml:space="preserve">OEM-504FF602</t>
  </si>
  <si>
    <t xml:space="preserve">Antenna - True RC</t>
  </si>
  <si>
    <t xml:space="preserve">True RC</t>
  </si>
  <si>
    <t xml:space="preserve">TRUE RC</t>
  </si>
  <si>
    <t xml:space="preserve">8907662734743</t>
  </si>
  <si>
    <t xml:space="preserve">DCOV:OEM-504FF602:TRUERC</t>
  </si>
  <si>
    <t xml:space="preserve">OEM-B9A6CDC6</t>
  </si>
  <si>
    <t xml:space="preserve">Battery Charger - Algofet</t>
  </si>
  <si>
    <t xml:space="preserve">Algofet</t>
  </si>
  <si>
    <t xml:space="preserve">ALGOFET</t>
  </si>
  <si>
    <t xml:space="preserve">Battery</t>
  </si>
  <si>
    <t xml:space="preserve">8907639342377</t>
  </si>
  <si>
    <t xml:space="preserve">DCOV:OEM-B9A6CDC6:ALGOFET</t>
  </si>
  <si>
    <t xml:space="preserve">Li-ion/Li-po/dry solid; cells manufactured in China.</t>
  </si>
  <si>
    <t xml:space="preserve">OEM-34567DAD</t>
  </si>
  <si>
    <t xml:space="preserve">Battery Charger - Ascent Power</t>
  </si>
  <si>
    <t xml:space="preserve">Ascent Power</t>
  </si>
  <si>
    <t xml:space="preserve">ASCENT POWER</t>
  </si>
  <si>
    <t xml:space="preserve">8904605914521</t>
  </si>
  <si>
    <t xml:space="preserve">DCOV:OEM-34567DAD:ASCENTPOWER</t>
  </si>
  <si>
    <t xml:space="preserve">OEM-D5D75F6A</t>
  </si>
  <si>
    <t xml:space="preserve">Battery Charger - Electrica Energy</t>
  </si>
  <si>
    <t xml:space="preserve">Electrica Energy</t>
  </si>
  <si>
    <t xml:space="preserve">ELECTRICA ENERGY</t>
  </si>
  <si>
    <t xml:space="preserve">8906187706785</t>
  </si>
  <si>
    <t xml:space="preserve">DCOV:OEM-D5D75F6A:ELECTRICAENERGY</t>
  </si>
  <si>
    <t xml:space="preserve">OEM-30D71611</t>
  </si>
  <si>
    <t xml:space="preserve">CRPA Antenna - Fisheyes</t>
  </si>
  <si>
    <t xml:space="preserve">Fisheyes</t>
  </si>
  <si>
    <t xml:space="preserve">FISHEYES</t>
  </si>
  <si>
    <t xml:space="preserve">Belgium</t>
  </si>
  <si>
    <t xml:space="preserve">8901296647196</t>
  </si>
  <si>
    <t xml:space="preserve">DCOV:OEM-30D71611:FISHEYES</t>
  </si>
  <si>
    <t xml:space="preserve">OEM-C4721041</t>
  </si>
  <si>
    <t xml:space="preserve">CRPA Antenna - Idea Forge</t>
  </si>
  <si>
    <t xml:space="preserve">Idea Forge</t>
  </si>
  <si>
    <t xml:space="preserve">IDEA FORGE</t>
  </si>
  <si>
    <t xml:space="preserve">8907183446569</t>
  </si>
  <si>
    <t xml:space="preserve">DCOV:OEM-C4721041:IDEAFORGE</t>
  </si>
  <si>
    <t xml:space="preserve">OEM-CCF475A6</t>
  </si>
  <si>
    <t xml:space="preserve">CRPA Antenna - Mtratech</t>
  </si>
  <si>
    <t xml:space="preserve">Mtratech</t>
  </si>
  <si>
    <t xml:space="preserve">MTRATECH</t>
  </si>
  <si>
    <t xml:space="preserve">8901558296971</t>
  </si>
  <si>
    <t xml:space="preserve">DCOV:OEM-CCF475A6:MTRATECH</t>
  </si>
  <si>
    <t xml:space="preserve">OEM-6AD690DF</t>
  </si>
  <si>
    <t xml:space="preserve">CRPA Antenna - Rpi Nuand</t>
  </si>
  <si>
    <t xml:space="preserve">Rpi Nuand</t>
  </si>
  <si>
    <t xml:space="preserve">RPI NUAND</t>
  </si>
  <si>
    <t xml:space="preserve">UK/USA</t>
  </si>
  <si>
    <t xml:space="preserve">8901827423374</t>
  </si>
  <si>
    <t xml:space="preserve">DCOV:OEM-6AD690DF:RPINUAND</t>
  </si>
  <si>
    <t xml:space="preserve">OEM-CE2FD4A4</t>
  </si>
  <si>
    <t xml:space="preserve">CRPA Antenna - Zoid Tech</t>
  </si>
  <si>
    <t xml:space="preserve">Zoid Tech</t>
  </si>
  <si>
    <t xml:space="preserve">ZOID TECH</t>
  </si>
  <si>
    <t xml:space="preserve">Belarus</t>
  </si>
  <si>
    <t xml:space="preserve">8907352521752</t>
  </si>
  <si>
    <t xml:space="preserve">DCOV:OEM-CE2FD4A4:ZOIDTECH</t>
  </si>
  <si>
    <t xml:space="preserve">OEM-781CB5D1</t>
  </si>
  <si>
    <t xml:space="preserve">Current Sensor - 3DR</t>
  </si>
  <si>
    <t xml:space="preserve">3DR</t>
  </si>
  <si>
    <t xml:space="preserve">8901223479715</t>
  </si>
  <si>
    <t xml:space="preserve">DCOV:OEM-781CB5D1:3DR</t>
  </si>
  <si>
    <t xml:space="preserve">OEM-71D09AC2</t>
  </si>
  <si>
    <t xml:space="preserve">DC-DC Converter - TDK Lambda</t>
  </si>
  <si>
    <t xml:space="preserve">TDK Lambda</t>
  </si>
  <si>
    <t xml:space="preserve">TDK LAMBDA</t>
  </si>
  <si>
    <t xml:space="preserve">Japan</t>
  </si>
  <si>
    <t xml:space="preserve">8906192690918</t>
  </si>
  <si>
    <t xml:space="preserve">DCOV:OEM-71D09AC2:TDKLAMBDA</t>
  </si>
  <si>
    <t xml:space="preserve">OEM-8FCBE096</t>
  </si>
  <si>
    <t xml:space="preserve">DC-DC Converter - Vyom</t>
  </si>
  <si>
    <t xml:space="preserve">Vyom</t>
  </si>
  <si>
    <t xml:space="preserve">VYOM</t>
  </si>
  <si>
    <t xml:space="preserve">8900939190563</t>
  </si>
  <si>
    <t xml:space="preserve">DCOV:OEM-8FCBE096:VYOM</t>
  </si>
  <si>
    <t xml:space="preserve">OEM-22517881</t>
  </si>
  <si>
    <t xml:space="preserve">EO/IR/VPS - Baumer</t>
  </si>
  <si>
    <t xml:space="preserve">Baumer</t>
  </si>
  <si>
    <t xml:space="preserve">BAUMER</t>
  </si>
  <si>
    <t xml:space="preserve">Germany</t>
  </si>
  <si>
    <t xml:space="preserve">8901693655411</t>
  </si>
  <si>
    <t xml:space="preserve">DCOV:OEM-22517881:BAUMER</t>
  </si>
  <si>
    <t xml:space="preserve">OEM-23C30873</t>
  </si>
  <si>
    <t xml:space="preserve">EO/IR/VPS - Defendrone</t>
  </si>
  <si>
    <t xml:space="preserve">Defendrone</t>
  </si>
  <si>
    <t xml:space="preserve">DEFENDRONE</t>
  </si>
  <si>
    <t xml:space="preserve">8902788618861</t>
  </si>
  <si>
    <t xml:space="preserve">DCOV:OEM-23C30873:DEFENDRONE</t>
  </si>
  <si>
    <t xml:space="preserve">OEM-4A80B70A</t>
  </si>
  <si>
    <t xml:space="preserve">EO/IR/VPS - E Vision</t>
  </si>
  <si>
    <t xml:space="preserve">E Vision</t>
  </si>
  <si>
    <t xml:space="preserve">E VISION</t>
  </si>
  <si>
    <t xml:space="preserve">8907180870176</t>
  </si>
  <si>
    <t xml:space="preserve">DCOV:OEM-4A80B70A:EVISION</t>
  </si>
  <si>
    <t xml:space="preserve">OEM-BB0E30D7</t>
  </si>
  <si>
    <t xml:space="preserve">EO/IR/VPS - Harrier</t>
  </si>
  <si>
    <t xml:space="preserve">Harrier</t>
  </si>
  <si>
    <t xml:space="preserve">HARRIER</t>
  </si>
  <si>
    <t xml:space="preserve">UK</t>
  </si>
  <si>
    <t xml:space="preserve">8909164248902</t>
  </si>
  <si>
    <t xml:space="preserve">DCOV:OEM-BB0E30D7:HARRIER</t>
  </si>
  <si>
    <t xml:space="preserve">OEM-4D1FF731</t>
  </si>
  <si>
    <t xml:space="preserve">EO/IR/VPS - Nextvision</t>
  </si>
  <si>
    <t xml:space="preserve">Nextvision</t>
  </si>
  <si>
    <t xml:space="preserve">NEXTVISION</t>
  </si>
  <si>
    <t xml:space="preserve">8901449145654</t>
  </si>
  <si>
    <t xml:space="preserve">DCOV:OEM-4D1FF731:NEXTVISION</t>
  </si>
  <si>
    <t xml:space="preserve">OEM-5D8D470F</t>
  </si>
  <si>
    <t xml:space="preserve">EO/IR/VPS - Nurlmch Inc</t>
  </si>
  <si>
    <t xml:space="preserve">Nurlmch Inc</t>
  </si>
  <si>
    <t xml:space="preserve">NURLMCH INC</t>
  </si>
  <si>
    <t xml:space="preserve">8906535425443</t>
  </si>
  <si>
    <t xml:space="preserve">DCOV:OEM-5D8D470F:NURLMCHINC</t>
  </si>
  <si>
    <t xml:space="preserve">OEM-F0175C56</t>
  </si>
  <si>
    <t xml:space="preserve">EO/IR/VPS - Skoopia</t>
  </si>
  <si>
    <t xml:space="preserve">Skoopia</t>
  </si>
  <si>
    <t xml:space="preserve">SKOOPIA</t>
  </si>
  <si>
    <t xml:space="preserve">8904399624637</t>
  </si>
  <si>
    <t xml:space="preserve">DCOV:OEM-F0175C56:SKOOPIA</t>
  </si>
  <si>
    <t xml:space="preserve">OEM-9439EC9E</t>
  </si>
  <si>
    <t xml:space="preserve">EO/IR/VPS - Tamron</t>
  </si>
  <si>
    <t xml:space="preserve">TAMRON</t>
  </si>
  <si>
    <t xml:space="preserve">8902158636945</t>
  </si>
  <si>
    <t xml:space="preserve">DCOV:OEM-9439EC9E:TAMRON</t>
  </si>
  <si>
    <t xml:space="preserve">OEM-A3FE48D8</t>
  </si>
  <si>
    <t xml:space="preserve">EO/IR/VPS - Teledyne FLIR</t>
  </si>
  <si>
    <t xml:space="preserve">Teledyne FLIR</t>
  </si>
  <si>
    <t xml:space="preserve">TELEDYNE FLIR</t>
  </si>
  <si>
    <t xml:space="preserve">8905311655555</t>
  </si>
  <si>
    <t xml:space="preserve">DCOV:OEM-A3FE48D8:TELEDYNEFLIR</t>
  </si>
  <si>
    <t xml:space="preserve">OEM-26B6C50B</t>
  </si>
  <si>
    <t xml:space="preserve">EO/IR/VPS - Trimmer</t>
  </si>
  <si>
    <t xml:space="preserve">Trimmer</t>
  </si>
  <si>
    <t xml:space="preserve">TRIMMER</t>
  </si>
  <si>
    <t xml:space="preserve">8909366663435</t>
  </si>
  <si>
    <t xml:space="preserve">DCOV:OEM-26B6C50B:TRIMMER</t>
  </si>
  <si>
    <t xml:space="preserve">OEM-25FC2665</t>
  </si>
  <si>
    <t xml:space="preserve">ESC - Botlab Dynamics</t>
  </si>
  <si>
    <t xml:space="preserve">Botlab Dynamics</t>
  </si>
  <si>
    <t xml:space="preserve">BOTLAB DYNAMICS</t>
  </si>
  <si>
    <t xml:space="preserve">8907333698299</t>
  </si>
  <si>
    <t xml:space="preserve">DCOV:OEM-25FC2665:BOTLABDYNAMICS</t>
  </si>
  <si>
    <t xml:space="preserve">OEM-7F94BE42</t>
  </si>
  <si>
    <t xml:space="preserve">ESC - HAKRC</t>
  </si>
  <si>
    <t xml:space="preserve">8909363585013</t>
  </si>
  <si>
    <t xml:space="preserve">DCOV:OEM-7F94BE42:HAKRC</t>
  </si>
  <si>
    <t xml:space="preserve">OEM-7010D669</t>
  </si>
  <si>
    <t xml:space="preserve">ESC - Hargraves Tech</t>
  </si>
  <si>
    <t xml:space="preserve">Hargraves Tech</t>
  </si>
  <si>
    <t xml:space="preserve">HARGRAVES TECH</t>
  </si>
  <si>
    <t xml:space="preserve">8904629766311</t>
  </si>
  <si>
    <t xml:space="preserve">DCOV:OEM-7010D669:HARGRAVESTECH</t>
  </si>
  <si>
    <t xml:space="preserve">OEM-753FCBB9</t>
  </si>
  <si>
    <t xml:space="preserve">ESC - Hobby Wing</t>
  </si>
  <si>
    <t xml:space="preserve">Hobby Wing</t>
  </si>
  <si>
    <t xml:space="preserve">8907726924172</t>
  </si>
  <si>
    <t xml:space="preserve">DCOV:OEM-753FCBB9:HOBBYWING</t>
  </si>
  <si>
    <t xml:space="preserve">OEM-59C2970B</t>
  </si>
  <si>
    <t xml:space="preserve">ESC - Ingrid Tech</t>
  </si>
  <si>
    <t xml:space="preserve">Ingrid Tech</t>
  </si>
  <si>
    <t xml:space="preserve">INGRID TECH</t>
  </si>
  <si>
    <t xml:space="preserve">8905220264817</t>
  </si>
  <si>
    <t xml:space="preserve">DCOV:OEM-59C2970B:INGRIDTECH</t>
  </si>
  <si>
    <t xml:space="preserve">OEM-210BF152</t>
  </si>
  <si>
    <t xml:space="preserve">ESC - Ipremium</t>
  </si>
  <si>
    <t xml:space="preserve">IPREMIUM</t>
  </si>
  <si>
    <t xml:space="preserve">8900162095673</t>
  </si>
  <si>
    <t xml:space="preserve">DCOV:OEM-210BF152:IPREMIUM</t>
  </si>
  <si>
    <t xml:space="preserve">OEM-FB5F6AC2</t>
  </si>
  <si>
    <t xml:space="preserve">ESC - Scorpian Sys</t>
  </si>
  <si>
    <t xml:space="preserve">Scorpian Sys</t>
  </si>
  <si>
    <t xml:space="preserve">SCORPIAN SYS</t>
  </si>
  <si>
    <t xml:space="preserve">8900027641007</t>
  </si>
  <si>
    <t xml:space="preserve">DCOV:OEM-FB5F6AC2:SCORPIANSYS</t>
  </si>
  <si>
    <t xml:space="preserve">OEM-B34748D2</t>
  </si>
  <si>
    <t xml:space="preserve">ESC - Vertiq</t>
  </si>
  <si>
    <t xml:space="preserve">Vertiq</t>
  </si>
  <si>
    <t xml:space="preserve">VERTIQ</t>
  </si>
  <si>
    <t xml:space="preserve">8901111130377</t>
  </si>
  <si>
    <t xml:space="preserve">DCOV:OEM-B34748D2:VERTIQ</t>
  </si>
  <si>
    <t xml:space="preserve">OEM-7CFA3208</t>
  </si>
  <si>
    <t xml:space="preserve">ESC - Welkinrim Tech</t>
  </si>
  <si>
    <t xml:space="preserve">Welkinrim Tech</t>
  </si>
  <si>
    <t xml:space="preserve">WELKINRIM TECH</t>
  </si>
  <si>
    <t xml:space="preserve">8909834114025</t>
  </si>
  <si>
    <t xml:space="preserve">DCOV:OEM-7CFA3208:WELKINRIMTECH</t>
  </si>
  <si>
    <t xml:space="preserve">OEM-3F2F38AB</t>
  </si>
  <si>
    <t xml:space="preserve">Ethernet Switch - Botblox</t>
  </si>
  <si>
    <t xml:space="preserve">Botblox</t>
  </si>
  <si>
    <t xml:space="preserve">BOTBLOX</t>
  </si>
  <si>
    <t xml:space="preserve">8908205041724</t>
  </si>
  <si>
    <t xml:space="preserve">DCOV:OEM-3F2F38AB:BOTBLOX</t>
  </si>
  <si>
    <t xml:space="preserve">OEM-A73085CB</t>
  </si>
  <si>
    <t xml:space="preserve">Ethernet Switch - D Link</t>
  </si>
  <si>
    <t xml:space="preserve">D Link</t>
  </si>
  <si>
    <t xml:space="preserve">D LINK</t>
  </si>
  <si>
    <t xml:space="preserve">8903962929087</t>
  </si>
  <si>
    <t xml:space="preserve">DCOV:OEM-A73085CB:DLINK</t>
  </si>
  <si>
    <t xml:space="preserve">OEM-B1109B5D</t>
  </si>
  <si>
    <t xml:space="preserve">Ethernet Switch - Kapek</t>
  </si>
  <si>
    <t xml:space="preserve">Kapek</t>
  </si>
  <si>
    <t xml:space="preserve">KAPEK</t>
  </si>
  <si>
    <t xml:space="preserve">8908793439156</t>
  </si>
  <si>
    <t xml:space="preserve">DCOV:OEM-B1109B5D:KAPEK</t>
  </si>
  <si>
    <t xml:space="preserve">OEM-7FC3B28D</t>
  </si>
  <si>
    <t xml:space="preserve">Flight Controller - 3DR</t>
  </si>
  <si>
    <t xml:space="preserve">8902719773492</t>
  </si>
  <si>
    <t xml:space="preserve">DCOV:OEM-7FC3B28D:3DR</t>
  </si>
  <si>
    <t xml:space="preserve">OEM-0E66A144</t>
  </si>
  <si>
    <t xml:space="preserve">Flight Controller - Agam Robotics</t>
  </si>
  <si>
    <t xml:space="preserve">Agam Robotics</t>
  </si>
  <si>
    <t xml:space="preserve">AGAM ROBOTICS</t>
  </si>
  <si>
    <t xml:space="preserve">8900425399609</t>
  </si>
  <si>
    <t xml:space="preserve">DCOV:OEM-0E66A144:AGAMROBOTICS</t>
  </si>
  <si>
    <t xml:space="preserve">OEM-330BE44D</t>
  </si>
  <si>
    <t xml:space="preserve">Flight Controller - Cube</t>
  </si>
  <si>
    <t xml:space="preserve">Cube</t>
  </si>
  <si>
    <t xml:space="preserve">CUBE</t>
  </si>
  <si>
    <t xml:space="preserve">Taiwan/Australia</t>
  </si>
  <si>
    <t xml:space="preserve">8900613793707</t>
  </si>
  <si>
    <t xml:space="preserve">DCOV:OEM-330BE44D:CUBE</t>
  </si>
  <si>
    <t xml:space="preserve">OEM-7392AD3E</t>
  </si>
  <si>
    <t xml:space="preserve">Flight Controller - IO Tech</t>
  </si>
  <si>
    <t xml:space="preserve">8905422947020</t>
  </si>
  <si>
    <t xml:space="preserve">DCOV:OEM-7392AD3E:IOTECH</t>
  </si>
  <si>
    <t xml:space="preserve">OEM-6C1B63AA</t>
  </si>
  <si>
    <t xml:space="preserve">Flight Controller - Zero Drag</t>
  </si>
  <si>
    <t xml:space="preserve">Zero Drag</t>
  </si>
  <si>
    <t xml:space="preserve">ZERO DRAG</t>
  </si>
  <si>
    <t xml:space="preserve">8904612687852</t>
  </si>
  <si>
    <t xml:space="preserve">DCOV:OEM-6C1B63AA:ZERODRAG</t>
  </si>
  <si>
    <t xml:space="preserve">OEM-A16A50CD</t>
  </si>
  <si>
    <t xml:space="preserve">Flight Controller - mRO</t>
  </si>
  <si>
    <t xml:space="preserve">mRO</t>
  </si>
  <si>
    <t xml:space="preserve">MRO</t>
  </si>
  <si>
    <t xml:space="preserve">8901786867356</t>
  </si>
  <si>
    <t xml:space="preserve">DCOV:OEM-A16A50CD:MRO</t>
  </si>
  <si>
    <t xml:space="preserve">OEM-50F16ACD</t>
  </si>
  <si>
    <t xml:space="preserve">GNSS Receiver - Idea Forge</t>
  </si>
  <si>
    <t xml:space="preserve">8907036997941</t>
  </si>
  <si>
    <t xml:space="preserve">DCOV:OEM-50F16ACD:IDEAFORGE</t>
  </si>
  <si>
    <t xml:space="preserve">OEM-36B47EC8</t>
  </si>
  <si>
    <t xml:space="preserve">GNSS Receiver - Inertial Labs Inc</t>
  </si>
  <si>
    <t xml:space="preserve">Inertial Labs Inc</t>
  </si>
  <si>
    <t xml:space="preserve">INERTIAL LABS INC</t>
  </si>
  <si>
    <t xml:space="preserve">8908041161556</t>
  </si>
  <si>
    <t xml:space="preserve">DCOV:OEM-36B47EC8:INERTIALLABSINC</t>
  </si>
  <si>
    <t xml:space="preserve">OEM-16CDD641</t>
  </si>
  <si>
    <t xml:space="preserve">GNSS Receiver - Infidome / GPSDome</t>
  </si>
  <si>
    <t xml:space="preserve">Infidome / GPSDome</t>
  </si>
  <si>
    <t xml:space="preserve">INFIDOME / GPSDOME</t>
  </si>
  <si>
    <t xml:space="preserve">8901873840354</t>
  </si>
  <si>
    <t xml:space="preserve">DCOV:OEM-16CDD641:INFIDOMEGPSDOME</t>
  </si>
  <si>
    <t xml:space="preserve">OEM-73C54F8E</t>
  </si>
  <si>
    <t xml:space="preserve">GNSS Receiver - Reliant Electronic Design</t>
  </si>
  <si>
    <t xml:space="preserve">Reliant Electronic Design</t>
  </si>
  <si>
    <t xml:space="preserve">RELIANT ELECTRONIC DESIGN</t>
  </si>
  <si>
    <t xml:space="preserve">8909559650686</t>
  </si>
  <si>
    <t xml:space="preserve">DCOV:OEM-73C54F8E:RELIANTELECTRONICDESIGN</t>
  </si>
  <si>
    <t xml:space="preserve">OEM-92052061</t>
  </si>
  <si>
    <t xml:space="preserve">GNSS Receiver - Sierra Aerospace</t>
  </si>
  <si>
    <t xml:space="preserve">Sierra Aerospace</t>
  </si>
  <si>
    <t xml:space="preserve">SIERRA AEROSPACE</t>
  </si>
  <si>
    <t xml:space="preserve">8909700553859</t>
  </si>
  <si>
    <t xml:space="preserve">DCOV:OEM-92052061:SIERRAAEROSPACE</t>
  </si>
  <si>
    <t xml:space="preserve">OEM-2A2D47F3</t>
  </si>
  <si>
    <t xml:space="preserve">GNSS Receiver - Signfic Sys</t>
  </si>
  <si>
    <t xml:space="preserve">Signfic Sys</t>
  </si>
  <si>
    <t xml:space="preserve">SIGNFIC SYS</t>
  </si>
  <si>
    <t xml:space="preserve">8907391843792</t>
  </si>
  <si>
    <t xml:space="preserve">DCOV:OEM-2A2D47F3:SIGNFICSYS</t>
  </si>
  <si>
    <t xml:space="preserve">OEM-91142033</t>
  </si>
  <si>
    <t xml:space="preserve">GNSS Receiver - U Blox</t>
  </si>
  <si>
    <t xml:space="preserve">U Blox</t>
  </si>
  <si>
    <t xml:space="preserve">U BLOX</t>
  </si>
  <si>
    <t xml:space="preserve">Switzerland/Australia</t>
  </si>
  <si>
    <t xml:space="preserve">8901237127831</t>
  </si>
  <si>
    <t xml:space="preserve">DCOV:OEM-91142033:UBLOX</t>
  </si>
  <si>
    <t xml:space="preserve">OEM-37EBA9E6</t>
  </si>
  <si>
    <t xml:space="preserve">HHGCS - FoxTech</t>
  </si>
  <si>
    <t xml:space="preserve">FoxTech</t>
  </si>
  <si>
    <t xml:space="preserve">FOXTECH</t>
  </si>
  <si>
    <t xml:space="preserve">8903142865068</t>
  </si>
  <si>
    <t xml:space="preserve">DCOV:OEM-37EBA9E6:FOXTECH</t>
  </si>
  <si>
    <t xml:space="preserve">OEM-2BCAA0B1</t>
  </si>
  <si>
    <t xml:space="preserve">HHGCS - Getac</t>
  </si>
  <si>
    <t xml:space="preserve">Getac</t>
  </si>
  <si>
    <t xml:space="preserve">GETAC</t>
  </si>
  <si>
    <t xml:space="preserve">8905873450483</t>
  </si>
  <si>
    <t xml:space="preserve">DCOV:OEM-2BCAA0B1:GETAC</t>
  </si>
  <si>
    <t xml:space="preserve">OEM-7EC16672</t>
  </si>
  <si>
    <t xml:space="preserve">HHGCS - HP</t>
  </si>
  <si>
    <t xml:space="preserve">HP</t>
  </si>
  <si>
    <t xml:space="preserve">8902633397903</t>
  </si>
  <si>
    <t xml:space="preserve">DCOV:OEM-7EC16672:HP</t>
  </si>
  <si>
    <t xml:space="preserve">OEM-569575E2</t>
  </si>
  <si>
    <t xml:space="preserve">HHGCS - Panasonic F2-G2</t>
  </si>
  <si>
    <t xml:space="preserve">Panasonic F2-G2</t>
  </si>
  <si>
    <t xml:space="preserve">PANASONIC F2-G2</t>
  </si>
  <si>
    <t xml:space="preserve">8901314015570</t>
  </si>
  <si>
    <t xml:space="preserve">DCOV:OEM-569575E2:PANASONICF2G2</t>
  </si>
  <si>
    <t xml:space="preserve">OEM-11576182</t>
  </si>
  <si>
    <t xml:space="preserve">HHGCS Battery - Dazzle Robotics</t>
  </si>
  <si>
    <t xml:space="preserve">Dazzle Robotics</t>
  </si>
  <si>
    <t xml:space="preserve">DAZZLE ROBOTICS</t>
  </si>
  <si>
    <t xml:space="preserve">8908148149204</t>
  </si>
  <si>
    <t xml:space="preserve">DCOV:OEM-11576182:DAZZLEROBOTICS</t>
  </si>
  <si>
    <t xml:space="preserve">OEM-31200E03</t>
  </si>
  <si>
    <t xml:space="preserve">HHGCS Battery - Idea Forge</t>
  </si>
  <si>
    <t xml:space="preserve">8901197091760</t>
  </si>
  <si>
    <t xml:space="preserve">DCOV:OEM-31200E03:IDEAFORGE</t>
  </si>
  <si>
    <t xml:space="preserve">OEM-BD9B7E37</t>
  </si>
  <si>
    <t xml:space="preserve">HHGCS Battery - Moticel</t>
  </si>
  <si>
    <t xml:space="preserve">Moticel</t>
  </si>
  <si>
    <t xml:space="preserve">MOTICEL</t>
  </si>
  <si>
    <t xml:space="preserve">8900680722990</t>
  </si>
  <si>
    <t xml:space="preserve">DCOV:OEM-BD9B7E37:MOTICEL</t>
  </si>
  <si>
    <t xml:space="preserve">OEM-6CE9B304</t>
  </si>
  <si>
    <t xml:space="preserve">HHGCS Battery - Panasonic</t>
  </si>
  <si>
    <t xml:space="preserve">Panasonic</t>
  </si>
  <si>
    <t xml:space="preserve">PANASONIC</t>
  </si>
  <si>
    <t xml:space="preserve">8900825907008</t>
  </si>
  <si>
    <t xml:space="preserve">DCOV:OEM-6CE9B304:PANASONIC</t>
  </si>
  <si>
    <t xml:space="preserve">OEM-6D8B145A</t>
  </si>
  <si>
    <t xml:space="preserve">HHGCS Battery - X Power Plus</t>
  </si>
  <si>
    <t xml:space="preserve">X Power Plus</t>
  </si>
  <si>
    <t xml:space="preserve">X POWER PLUS</t>
  </si>
  <si>
    <t xml:space="preserve">8905796752831</t>
  </si>
  <si>
    <t xml:space="preserve">DCOV:OEM-6D8B145A:XPOWERPLUS</t>
  </si>
  <si>
    <t xml:space="preserve">OEM-7D2D5CF1</t>
  </si>
  <si>
    <t xml:space="preserve">IMU - IO Tech</t>
  </si>
  <si>
    <t xml:space="preserve">8900979423164</t>
  </si>
  <si>
    <t xml:space="preserve">DCOV:OEM-7D2D5CF1:IOTECH</t>
  </si>
  <si>
    <t xml:space="preserve">OEM-E88D73B1</t>
  </si>
  <si>
    <t xml:space="preserve">IMU - Inertial Labs Inc</t>
  </si>
  <si>
    <t xml:space="preserve">8908092082572</t>
  </si>
  <si>
    <t xml:space="preserve">DCOV:OEM-E88D73B1:INERTIALLABSINC</t>
  </si>
  <si>
    <t xml:space="preserve">OEM-E15B2E49</t>
  </si>
  <si>
    <t xml:space="preserve">IMU - Zreyah</t>
  </si>
  <si>
    <t xml:space="preserve">Zreyah</t>
  </si>
  <si>
    <t xml:space="preserve">ZREYAH</t>
  </si>
  <si>
    <t xml:space="preserve">8903993823811</t>
  </si>
  <si>
    <t xml:space="preserve">DCOV:OEM-E15B2E49:ZREYAH</t>
  </si>
  <si>
    <t xml:space="preserve">OEM-BA1AE27F</t>
  </si>
  <si>
    <t xml:space="preserve">Joystick Controller - Ant Plus</t>
  </si>
  <si>
    <t xml:space="preserve">Ant Plus</t>
  </si>
  <si>
    <t xml:space="preserve">ANT PLUS</t>
  </si>
  <si>
    <t xml:space="preserve">Joystick Controller</t>
  </si>
  <si>
    <t xml:space="preserve">8907510319023</t>
  </si>
  <si>
    <t xml:space="preserve">DCOV:OEM-BA1AE27F:ANTPLUS</t>
  </si>
  <si>
    <t xml:space="preserve">No capability to Tx/Rx data.</t>
  </si>
  <si>
    <t xml:space="preserve">OEM-9F426988</t>
  </si>
  <si>
    <t xml:space="preserve">Joystick Controller - Logitech</t>
  </si>
  <si>
    <t xml:space="preserve">Logitech</t>
  </si>
  <si>
    <t xml:space="preserve">LOGITECH</t>
  </si>
  <si>
    <t xml:space="preserve">Switzerland</t>
  </si>
  <si>
    <t xml:space="preserve">8908227251996</t>
  </si>
  <si>
    <t xml:space="preserve">DCOV:OEM-9F426988:LOGITECH</t>
  </si>
  <si>
    <t xml:space="preserve">OEM-B0BCDC74</t>
  </si>
  <si>
    <t xml:space="preserve">Joystick Controller - New Global Comn</t>
  </si>
  <si>
    <t xml:space="preserve">New Global Comn</t>
  </si>
  <si>
    <t xml:space="preserve">NEW GLOBAL COMN</t>
  </si>
  <si>
    <t xml:space="preserve">8904390739897</t>
  </si>
  <si>
    <t xml:space="preserve">DCOV:OEM-B0BCDC74:NEWGLOBALCOMN</t>
  </si>
  <si>
    <t xml:space="preserve">OEM-4B18621D</t>
  </si>
  <si>
    <t xml:space="preserve">Joystick Controller - Nintendo Switch</t>
  </si>
  <si>
    <t xml:space="preserve">Nintendo Switch</t>
  </si>
  <si>
    <t xml:space="preserve">NINTENDO SWITCH</t>
  </si>
  <si>
    <t xml:space="preserve">8900960538747</t>
  </si>
  <si>
    <t xml:space="preserve">DCOV:OEM-4B18621D:NINTENDOSWITCH</t>
  </si>
  <si>
    <t xml:space="preserve">OEM-4EEF2E89</t>
  </si>
  <si>
    <t xml:space="preserve">Joystick Controller - Sony</t>
  </si>
  <si>
    <t xml:space="preserve">Sony</t>
  </si>
  <si>
    <t xml:space="preserve">SONY</t>
  </si>
  <si>
    <t xml:space="preserve">8908266057344</t>
  </si>
  <si>
    <t xml:space="preserve">DCOV:OEM-4EEF2E89:SONY</t>
  </si>
  <si>
    <t xml:space="preserve">OEM-579BAD75</t>
  </si>
  <si>
    <t xml:space="preserve">Joystick Controller - Vijay Fastners</t>
  </si>
  <si>
    <t xml:space="preserve">Vijay Fastners</t>
  </si>
  <si>
    <t xml:space="preserve">VIJAY FASTNERS</t>
  </si>
  <si>
    <t xml:space="preserve">8906851933028</t>
  </si>
  <si>
    <t xml:space="preserve">DCOV:OEM-579BAD75:VIJAYFASTNERS</t>
  </si>
  <si>
    <t xml:space="preserve">OEM-123ED189</t>
  </si>
  <si>
    <t xml:space="preserve">Motor - E Propelled</t>
  </si>
  <si>
    <t xml:space="preserve">E Propelled</t>
  </si>
  <si>
    <t xml:space="preserve">E PROPELLED</t>
  </si>
  <si>
    <t xml:space="preserve">Motor</t>
  </si>
  <si>
    <t xml:space="preserve">8902175765451</t>
  </si>
  <si>
    <t xml:space="preserve">DCOV:OEM-123ED189:EPROPELLED</t>
  </si>
  <si>
    <t xml:space="preserve">BLDC motors; some Indian manufacture, some Chinese origin.</t>
  </si>
  <si>
    <t xml:space="preserve">OEM-31681A56</t>
  </si>
  <si>
    <t xml:space="preserve">Motor - IO Tech</t>
  </si>
  <si>
    <t xml:space="preserve">8908367193620</t>
  </si>
  <si>
    <t xml:space="preserve">DCOV:OEM-31681A56:IOTECH</t>
  </si>
  <si>
    <t xml:space="preserve">OEM-30DD9352</t>
  </si>
  <si>
    <t xml:space="preserve">Motor - Iqnetics</t>
  </si>
  <si>
    <t xml:space="preserve">Iqnetics</t>
  </si>
  <si>
    <t xml:space="preserve">IQNETICS</t>
  </si>
  <si>
    <t xml:space="preserve">8901068585145</t>
  </si>
  <si>
    <t xml:space="preserve">DCOV:OEM-30DD9352:IQNETICS</t>
  </si>
  <si>
    <t xml:space="preserve">OEM-EC018209</t>
  </si>
  <si>
    <t xml:space="preserve">Motor - Motion Drive</t>
  </si>
  <si>
    <t xml:space="preserve">Motion Drive</t>
  </si>
  <si>
    <t xml:space="preserve">MOTION DRIVE</t>
  </si>
  <si>
    <t xml:space="preserve">8904733805081</t>
  </si>
  <si>
    <t xml:space="preserve">DCOV:OEM-EC018209:MOTIONDRIVE</t>
  </si>
  <si>
    <t xml:space="preserve">OEM-E04957BF</t>
  </si>
  <si>
    <t xml:space="preserve">Motor - Scorpian Sys</t>
  </si>
  <si>
    <t xml:space="preserve">8901344610455</t>
  </si>
  <si>
    <t xml:space="preserve">DCOV:OEM-E04957BF:SCORPIANSYS</t>
  </si>
  <si>
    <t xml:space="preserve">OEM-7DB493E7</t>
  </si>
  <si>
    <t xml:space="preserve">Motor - Sun Mint Elect LLP</t>
  </si>
  <si>
    <t xml:space="preserve">Sun Mint Elect LLP</t>
  </si>
  <si>
    <t xml:space="preserve">SUN MINT ELECT LLP</t>
  </si>
  <si>
    <t xml:space="preserve">8909143093011</t>
  </si>
  <si>
    <t xml:space="preserve">DCOV:OEM-7DB493E7:SUNMINTELECTLLP</t>
  </si>
  <si>
    <t xml:space="preserve">OEM-E3F09BD7</t>
  </si>
  <si>
    <t xml:space="preserve">Motor - Vertiq</t>
  </si>
  <si>
    <t xml:space="preserve">8906936998003</t>
  </si>
  <si>
    <t xml:space="preserve">DCOV:OEM-E3F09BD7:VERTIQ</t>
  </si>
  <si>
    <t xml:space="preserve">OEM-EC657937</t>
  </si>
  <si>
    <t xml:space="preserve">Motor - Welkinrim Tech</t>
  </si>
  <si>
    <t xml:space="preserve">8904119101349</t>
  </si>
  <si>
    <t xml:space="preserve">DCOV:OEM-EC657937:WELKINRIMTECH</t>
  </si>
  <si>
    <t xml:space="preserve">OEM-7F0C4AF3</t>
  </si>
  <si>
    <t xml:space="preserve">On Board Computer - Idea Forge</t>
  </si>
  <si>
    <t xml:space="preserve">8907744265103</t>
  </si>
  <si>
    <t xml:space="preserve">DCOV:OEM-7F0C4AF3:IDEAFORGE</t>
  </si>
  <si>
    <t xml:space="preserve">OEM-DCD74F59</t>
  </si>
  <si>
    <t xml:space="preserve">On Board Computer - NVIDIA Jetson (Orin, Nano)</t>
  </si>
  <si>
    <t xml:space="preserve">NVIDIA Jetson (Orin, Nano)</t>
  </si>
  <si>
    <t xml:space="preserve">NVIDIA JETSON (ORIN NANO)</t>
  </si>
  <si>
    <t xml:space="preserve">USA/Taiwan</t>
  </si>
  <si>
    <t xml:space="preserve">8900182782065</t>
  </si>
  <si>
    <t xml:space="preserve">DCOV:OEM-DCD74F59:NVIDIAJETSONORINNANO</t>
  </si>
  <si>
    <t xml:space="preserve">OEM-1207D0A9</t>
  </si>
  <si>
    <t xml:space="preserve">On Board Computer - RP Tech</t>
  </si>
  <si>
    <t xml:space="preserve">RP Tech</t>
  </si>
  <si>
    <t xml:space="preserve">RP TECH</t>
  </si>
  <si>
    <t xml:space="preserve">8907084003854</t>
  </si>
  <si>
    <t xml:space="preserve">DCOV:OEM-1207D0A9:RPTECH</t>
  </si>
  <si>
    <t xml:space="preserve">OEM-9E8D1AB2</t>
  </si>
  <si>
    <t xml:space="preserve">On Board Computer - Real Tech</t>
  </si>
  <si>
    <t xml:space="preserve">Real Tech</t>
  </si>
  <si>
    <t xml:space="preserve">REAL TECH</t>
  </si>
  <si>
    <t xml:space="preserve">8902603233095</t>
  </si>
  <si>
    <t xml:space="preserve">DCOV:OEM-9E8D1AB2:REALTECH</t>
  </si>
  <si>
    <t xml:space="preserve">OEM-F581EE52</t>
  </si>
  <si>
    <t xml:space="preserve">On Board Computer - Rpi 4 Model B</t>
  </si>
  <si>
    <t xml:space="preserve">Rpi 4 Model B</t>
  </si>
  <si>
    <t xml:space="preserve">RPI 4 MODEL B</t>
  </si>
  <si>
    <t xml:space="preserve">8903553990120</t>
  </si>
  <si>
    <t xml:space="preserve">DCOV:OEM-F581EE52:RPI4MODELB</t>
  </si>
  <si>
    <t xml:space="preserve">OEM-1E9D6046</t>
  </si>
  <si>
    <t xml:space="preserve">Power Distribution Board - Hargraves</t>
  </si>
  <si>
    <t xml:space="preserve">Hargraves</t>
  </si>
  <si>
    <t xml:space="preserve">HARGRAVES</t>
  </si>
  <si>
    <t xml:space="preserve">8903003138096</t>
  </si>
  <si>
    <t xml:space="preserve">DCOV:OEM-1E9D6046:HARGRAVES</t>
  </si>
  <si>
    <t xml:space="preserve">OEM-D10A179D</t>
  </si>
  <si>
    <t xml:space="preserve">Power Distribution Board - IO Tech</t>
  </si>
  <si>
    <t xml:space="preserve">8906320624563</t>
  </si>
  <si>
    <t xml:space="preserve">DCOV:OEM-D10A179D:IOTECH</t>
  </si>
  <si>
    <t xml:space="preserve">OEM-516621AB</t>
  </si>
  <si>
    <t xml:space="preserve">Power Distribution Board - Idea Forge</t>
  </si>
  <si>
    <t xml:space="preserve">8900723351477</t>
  </si>
  <si>
    <t xml:space="preserve">DCOV:OEM-516621AB:IDEAFORGE</t>
  </si>
  <si>
    <t xml:space="preserve">OEM-DC9A8E05</t>
  </si>
  <si>
    <t xml:space="preserve">Power Distribution Board - Oppila Microsys</t>
  </si>
  <si>
    <t xml:space="preserve">Oppila Microsys</t>
  </si>
  <si>
    <t xml:space="preserve">OPPILA MICROSYS</t>
  </si>
  <si>
    <t xml:space="preserve">8907827647161</t>
  </si>
  <si>
    <t xml:space="preserve">DCOV:OEM-DC9A8E05:OPPILAMICROSYS</t>
  </si>
  <si>
    <t xml:space="preserve">OEM-78F2AC7D</t>
  </si>
  <si>
    <t xml:space="preserve">Power Distribution Board - Optiemus Unmanned Sys</t>
  </si>
  <si>
    <t xml:space="preserve">8905590143033</t>
  </si>
  <si>
    <t xml:space="preserve">DCOV:OEM-78F2AC7D:OPTIEMUSUNMANNEDSYS</t>
  </si>
  <si>
    <t xml:space="preserve">OEM-388197FF</t>
  </si>
  <si>
    <t xml:space="preserve">Power Distribution Board - Reflex Drive</t>
  </si>
  <si>
    <t xml:space="preserve">Reflex Drive</t>
  </si>
  <si>
    <t xml:space="preserve">REFLEX DRIVE</t>
  </si>
  <si>
    <t xml:space="preserve">8906948584508</t>
  </si>
  <si>
    <t xml:space="preserve">DCOV:OEM-388197FF:REFLEXDRIVE</t>
  </si>
  <si>
    <t xml:space="preserve">OEM-C84FB2B2</t>
  </si>
  <si>
    <t xml:space="preserve">Propeller - Nautical Wg</t>
  </si>
  <si>
    <t xml:space="preserve">Nautical Wg</t>
  </si>
  <si>
    <t xml:space="preserve">NAUTICAL WG</t>
  </si>
  <si>
    <t xml:space="preserve">8907445495403</t>
  </si>
  <si>
    <t xml:space="preserve">DCOV:OEM-C84FB2B2:NAUTICALWG</t>
  </si>
  <si>
    <t xml:space="preserve">3D printed in India/China.</t>
  </si>
  <si>
    <t xml:space="preserve">OEM-437E153F</t>
  </si>
  <si>
    <t xml:space="preserve">Propeller - SR Aero Space</t>
  </si>
  <si>
    <t xml:space="preserve">SR Aero Space</t>
  </si>
  <si>
    <t xml:space="preserve">SR AERO SPACE</t>
  </si>
  <si>
    <t xml:space="preserve">8904719065577</t>
  </si>
  <si>
    <t xml:space="preserve">DCOV:OEM-437E153F:SRAEROSPACE</t>
  </si>
  <si>
    <t xml:space="preserve">OEM-751E4B4C</t>
  </si>
  <si>
    <t xml:space="preserve">Propeller - Venus Injectoplast</t>
  </si>
  <si>
    <t xml:space="preserve">Venus Injectoplast</t>
  </si>
  <si>
    <t xml:space="preserve">VENUS INJECTOPLAST</t>
  </si>
  <si>
    <t xml:space="preserve">8908065767789</t>
  </si>
  <si>
    <t xml:space="preserve">DCOV:OEM-751E4B4C:VENUSINJECTOPLAST</t>
  </si>
  <si>
    <t xml:space="preserve">OEM-58411F35</t>
  </si>
  <si>
    <t xml:space="preserve">Propeller - Zenmtech</t>
  </si>
  <si>
    <t xml:space="preserve">Zenmtech</t>
  </si>
  <si>
    <t xml:space="preserve">ZENMTECH</t>
  </si>
  <si>
    <t xml:space="preserve">8906826307915</t>
  </si>
  <si>
    <t xml:space="preserve">DCOV:OEM-58411F35:ZENMTECH</t>
  </si>
  <si>
    <t xml:space="preserve">OEM-B61BEBF3</t>
  </si>
  <si>
    <t xml:space="preserve">Radio Module - 8 devices</t>
  </si>
  <si>
    <t xml:space="preserve">8 devices</t>
  </si>
  <si>
    <t xml:space="preserve">8 DEVICES</t>
  </si>
  <si>
    <t xml:space="preserve">EU</t>
  </si>
  <si>
    <t xml:space="preserve">8909139122961</t>
  </si>
  <si>
    <t xml:space="preserve">DCOV:OEM-B61BEBF3:8DEVICES</t>
  </si>
  <si>
    <t xml:space="preserve">OEM-914186A5</t>
  </si>
  <si>
    <t xml:space="preserve">Radio Module - Doodle Labs</t>
  </si>
  <si>
    <t xml:space="preserve">8902147242225</t>
  </si>
  <si>
    <t xml:space="preserve">DCOV:OEM-914186A5:DOODLELABS</t>
  </si>
  <si>
    <t xml:space="preserve">OEM-0BB92E97</t>
  </si>
  <si>
    <t xml:space="preserve">Radio Module - Exicom Technologies</t>
  </si>
  <si>
    <t xml:space="preserve">8903249668197</t>
  </si>
  <si>
    <t xml:space="preserve">DCOV:OEM-0BB92E97:EXICOMTECHNOLOGIES</t>
  </si>
  <si>
    <t xml:space="preserve">OEM-FCE553AA</t>
  </si>
  <si>
    <t xml:space="preserve">Radio Module - Idea Forge</t>
  </si>
  <si>
    <t xml:space="preserve">8904690470513</t>
  </si>
  <si>
    <t xml:space="preserve">DCOV:OEM-FCE553AA:IDEAFORGE</t>
  </si>
  <si>
    <t xml:space="preserve">OEM-650590EC</t>
  </si>
  <si>
    <t xml:space="preserve">Radio Module - Kalpintech</t>
  </si>
  <si>
    <t xml:space="preserve">Kalpintech</t>
  </si>
  <si>
    <t xml:space="preserve">KALPINTECH</t>
  </si>
  <si>
    <t xml:space="preserve">8901467439889</t>
  </si>
  <si>
    <t xml:space="preserve">DCOV:OEM-650590EC:KALPINTECH</t>
  </si>
  <si>
    <t xml:space="preserve">OEM-44600508</t>
  </si>
  <si>
    <t xml:space="preserve">Radio Module - RF Design</t>
  </si>
  <si>
    <t xml:space="preserve">8901501496175</t>
  </si>
  <si>
    <t xml:space="preserve">DCOV:OEM-44600508:RFDESIGN</t>
  </si>
  <si>
    <t xml:space="preserve">OEM-4A04A616</t>
  </si>
  <si>
    <t xml:space="preserve">Radio Module - Taysink Tech Inc</t>
  </si>
  <si>
    <t xml:space="preserve">Taysink Tech Inc</t>
  </si>
  <si>
    <t xml:space="preserve">TAYSINK TECH INC</t>
  </si>
  <si>
    <t xml:space="preserve">8906995585251</t>
  </si>
  <si>
    <t xml:space="preserve">DCOV:OEM-4A04A616:TAYSINKTECHINC</t>
  </si>
  <si>
    <t xml:space="preserve">OEM-35CE9CE5</t>
  </si>
  <si>
    <t xml:space="preserve">Voltage Regulator - Castle Creation</t>
  </si>
  <si>
    <t xml:space="preserve">Castle Creation</t>
  </si>
  <si>
    <t xml:space="preserve">CASTLE CREATION</t>
  </si>
  <si>
    <t xml:space="preserve">8905623542918</t>
  </si>
  <si>
    <t xml:space="preserve">DCOV:OEM-35CE9CE5:CASTLECREATION</t>
  </si>
  <si>
    <t xml:space="preserve">OEM-D40B0ACE</t>
  </si>
  <si>
    <t xml:space="preserve">Voltage Regulator - Idea Forge</t>
  </si>
  <si>
    <t xml:space="preserve">8909814228094</t>
  </si>
  <si>
    <t xml:space="preserve">DCOV:OEM-D40B0ACE:IDEAFORGE</t>
  </si>
  <si>
    <t xml:space="preserve">OEM-5010504F</t>
  </si>
  <si>
    <t xml:space="preserve">Voltage Regulator - Vyom Drones</t>
  </si>
  <si>
    <t xml:space="preserve">Vyom Drones</t>
  </si>
  <si>
    <t xml:space="preserve">VYOM DRONES</t>
  </si>
  <si>
    <t xml:space="preserve">8905910989433</t>
  </si>
  <si>
    <t xml:space="preserve">DCOV:OEM-5010504F:VYOMDRONES</t>
  </si>
  <si>
    <t xml:space="preserve">DCOV IMPORT TEMPLATE - FIELD LEGEND</t>
  </si>
  <si>
    <t xml:space="preserve">FIELD</t>
  </si>
  <si>
    <t xml:space="preserve">REQUIRED</t>
  </si>
  <si>
    <t xml:space="preserve">MEANING / ACCEPTED VALUES</t>
  </si>
  <si>
    <t xml:space="preserve">component_id</t>
  </si>
  <si>
    <t xml:space="preserve">Auto</t>
  </si>
  <si>
    <t xml:space="preserve">Left blank on import, DCOV generates a stable ID from part number + manufacturer.</t>
  </si>
  <si>
    <t xml:space="preserve">component_name</t>
  </si>
  <si>
    <t xml:space="preserve">Human-readable description shown on the result banner.</t>
  </si>
  <si>
    <t xml:space="preserve">part_number</t>
  </si>
  <si>
    <t xml:space="preserve">YES*</t>
  </si>
  <si>
    <t xml:space="preserve">Manufacturer part number. *Either part_number or chip_number must be present.</t>
  </si>
  <si>
    <t xml:space="preserve">chip_number</t>
  </si>
  <si>
    <t xml:space="preserve">Marking as laser-etched/printed on the die package - what OCR reads.</t>
  </si>
  <si>
    <t xml:space="preserve">manufacturer</t>
  </si>
  <si>
    <t xml:space="preserve">Silicon vendor or OEM. Aliases are resolved automatically (e.g. 'ST Micro' -&gt; STMICROELECTRONICS).</t>
  </si>
  <si>
    <t xml:space="preserve">manufacturer_country</t>
  </si>
  <si>
    <t xml:space="preserve">No</t>
  </si>
  <si>
    <t xml:space="preserve">Country of the vendor's corporate HQ.</t>
  </si>
  <si>
    <t xml:space="preserve">country_of_origin</t>
  </si>
  <si>
    <t xml:space="preserve">Assembly/test country - this drives the verdict, not the HQ country.</t>
  </si>
  <si>
    <t xml:space="preserve">is_chinese</t>
  </si>
  <si>
    <t xml:space="preserve">YES / NO / UNKNOWN. Recomputed on import from country_of_origin and remarks.</t>
  </si>
  <si>
    <t xml:space="preserve">category</t>
  </si>
  <si>
    <t xml:space="preserve">Chip / IC, Assembly / Module, OEM / LRU.</t>
  </si>
  <si>
    <t xml:space="preserve">drone_subsystem</t>
  </si>
  <si>
    <t xml:space="preserve">Mapped to the policy matrix: Flight Controller, GNSS Receiver, CRPA, Radio Modem, GCS, ESC, ...</t>
  </si>
  <si>
    <t xml:space="preserve">criticality</t>
  </si>
  <si>
    <t xml:space="preserve">CRITICAL / NON-CRITICAL, derived from drone_subsystem via the policy matrix.</t>
  </si>
  <si>
    <t xml:space="preserve">alternative_manufacturer</t>
  </si>
  <si>
    <t xml:space="preserve">Approved substitutes (seeded from the NDDA / Blue UAS list).</t>
  </si>
  <si>
    <t xml:space="preserve">military_grade</t>
  </si>
  <si>
    <t xml:space="preserve">YES / NO.</t>
  </si>
  <si>
    <t xml:space="preserve">barcode</t>
  </si>
  <si>
    <t xml:space="preserve">If blank, a checksum-valid EAN-13 is generated for label printing.</t>
  </si>
  <si>
    <t xml:space="preserve">qr_code</t>
  </si>
  <si>
    <t xml:space="preserve">If blank, generated as DCOV:&lt;component_id&gt;:&lt;normalised part&gt;.</t>
  </si>
  <si>
    <t xml:space="preserve">remarks</t>
  </si>
  <si>
    <t xml:space="preserve">Free text. Phrases 'COO China' / 'Made in China' force is_chinese = YES.</t>
  </si>
  <si>
    <t xml:space="preserve">supplier</t>
  </si>
  <si>
    <t xml:space="preserve">Where the unit was procured from / the parent assembly it was pulled out of.</t>
  </si>
  <si>
    <t xml:space="preserve">verified_by</t>
  </si>
  <si>
    <t xml:space="preserve">Name or cell that confirmed the origin.</t>
  </si>
  <si>
    <t xml:space="preserve">verification_source</t>
  </si>
  <si>
    <t xml:space="preserve">Evidence trail: teardown report, datasheet, vendor letter, customs declaration.</t>
  </si>
  <si>
    <t xml:space="preserve">confidence_score</t>
  </si>
  <si>
    <t xml:space="preserve">0-100. Below 60 the result screen is downgraded to NEEDS VERIFICATION.</t>
  </si>
  <si>
    <t xml:space="preserve">EXAMPLE ROW (delete before import):</t>
  </si>
  <si>
    <t xml:space="preserve">STMicroelectronics</t>
  </si>
  <si>
    <t xml:space="preserve">COO China - marking CHN on package underside</t>
  </si>
  <si>
    <t xml:space="preserve">Source: Chinese_Components_FINAL.xlsx (sheets DRONE AND LM PARTS, COMP IDEN AND ORIGIN,</t>
  </si>
  <si>
    <t xml:space="preserve">KEY OBSNS, COMMON CHINESE, CRITICAL NON CRITICAL COMPONENT, NDDA &amp; BLUE UAS LIST),</t>
  </si>
  <si>
    <t xml:space="preserve">normalised by scripts/build_seed_database.py on 2026-08-03.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</si>
</sst>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n">
        <f aca="false">COUNTA(COMPONENTS!$H$2:$H$204)</f>
        <v>203</v>
      </c>
    </row>
    <row r="5" customFormat="false" ht="15" hidden="false" customHeight="false" outlineLevel="0" collapsed="false">
      <c r="A5" s="3" t="s">
        <v>4</v>
      </c>
      <c r="B5" s="3" t="n">
        <f aca="false">COUNTIF(COMPONENTS!$H$2:$H$204,"YES")</f>
        <v>45</v>
      </c>
    </row>
    <row r="6" customFormat="false" ht="15" hidden="false" customHeight="false" outlineLevel="0" collapsed="false">
      <c r="A6" s="3" t="s">
        <v>5</v>
      </c>
      <c r="B6" s="3" t="n">
        <f aca="false">COUNTIF(COMPONENTS!$H$2:$H$204,"NO")</f>
        <v>142</v>
      </c>
    </row>
    <row r="7" customFormat="false" ht="15" hidden="false" customHeight="false" outlineLevel="0" collapsed="false">
      <c r="A7" s="3" t="s">
        <v>6</v>
      </c>
      <c r="B7" s="3" t="n">
        <f aca="false">COUNTIF(COMPONENTS!$H$2:$H$204,"UNKNOWN")</f>
        <v>16</v>
      </c>
    </row>
    <row r="8" customFormat="false" ht="15" hidden="false" customHeight="false" outlineLevel="0" collapsed="false">
      <c r="A8" s="3" t="s">
        <v>7</v>
      </c>
      <c r="B8" s="3" t="n">
        <f aca="false">COUNTIF(COMPONENTS!$K$2:$K$204,"CRITICAL")</f>
        <v>109</v>
      </c>
    </row>
    <row r="9" customFormat="false" ht="15" hidden="false" customHeight="false" outlineLevel="0" collapsed="false">
      <c r="A9" s="3" t="s">
        <v>8</v>
      </c>
      <c r="B9" s="3" t="n">
        <f aca="false">COUNTIFS(COMPONENTS!$H$2:$H$204,"YES",COMPONENTS!$K$2:$K$204,"CRITICAL")</f>
        <v>29</v>
      </c>
    </row>
    <row r="11" customFormat="false" ht="15" hidden="false" customHeight="false" outlineLevel="0" collapsed="false">
      <c r="A1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11" min="6" style="0" width="16"/>
    <col collapsed="false" customWidth="true" hidden="false" outlineLevel="0" max="12" min="12" style="0" width="45"/>
    <col collapsed="false" customWidth="true" hidden="false" outlineLevel="0" max="13" min="13" style="0" width="55"/>
    <col collapsed="false" customWidth="true" hidden="false" outlineLevel="0" max="15" min="14" style="0" width="16"/>
    <col collapsed="false" customWidth="true" hidden="false" outlineLevel="0" max="16" min="16" style="0" width="28"/>
    <col collapsed="false" customWidth="true" hidden="false" outlineLevel="0" max="17" min="17" style="0" width="16"/>
    <col collapsed="false" customWidth="true" hidden="false" outlineLevel="0" max="18" min="18" style="0" width="60"/>
    <col collapsed="false" customWidth="true" hidden="false" outlineLevel="0" max="24" min="19" style="0" width="16"/>
    <col collapsed="false" customWidth="true" hidden="false" outlineLevel="0" max="25" min="25" style="0" width="40"/>
    <col collapsed="false" customWidth="true" hidden="false" outlineLevel="0" max="26" min="26" style="0" width="16"/>
  </cols>
  <sheetData>
    <row r="1" customFormat="false" ht="35.0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</row>
    <row r="2" customFormat="false" ht="15" hidden="false" customHeight="false" outlineLevel="0" collapsed="false">
      <c r="A2" s="3" t="s">
        <v>36</v>
      </c>
      <c r="B2" s="3" t="s">
        <v>37</v>
      </c>
      <c r="C2" s="3" t="s">
        <v>37</v>
      </c>
      <c r="D2" s="3"/>
      <c r="E2" s="3" t="s">
        <v>38</v>
      </c>
      <c r="F2" s="3" t="s">
        <v>39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/>
      <c r="R2" s="3" t="s">
        <v>49</v>
      </c>
      <c r="S2" s="3"/>
      <c r="T2" s="3"/>
      <c r="U2" s="3"/>
      <c r="V2" s="3" t="s">
        <v>50</v>
      </c>
      <c r="W2" s="3" t="s">
        <v>50</v>
      </c>
      <c r="X2" s="3" t="s">
        <v>51</v>
      </c>
      <c r="Y2" s="3" t="s">
        <v>52</v>
      </c>
      <c r="Z2" s="3" t="s">
        <v>53</v>
      </c>
    </row>
    <row r="3" customFormat="false" ht="15" hidden="false" customHeight="false" outlineLevel="0" collapsed="false">
      <c r="A3" s="3" t="s">
        <v>54</v>
      </c>
      <c r="B3" s="3" t="s">
        <v>55</v>
      </c>
      <c r="C3" s="3" t="s">
        <v>55</v>
      </c>
      <c r="D3" s="3"/>
      <c r="E3" s="3" t="s">
        <v>56</v>
      </c>
      <c r="F3" s="3" t="s">
        <v>57</v>
      </c>
      <c r="G3" s="3" t="s">
        <v>57</v>
      </c>
      <c r="H3" s="3" t="s">
        <v>40</v>
      </c>
      <c r="I3" s="3" t="s">
        <v>41</v>
      </c>
      <c r="J3" s="3" t="s">
        <v>58</v>
      </c>
      <c r="K3" s="3" t="s">
        <v>43</v>
      </c>
      <c r="L3" s="3" t="s">
        <v>59</v>
      </c>
      <c r="M3" s="3" t="s">
        <v>60</v>
      </c>
      <c r="N3" s="3" t="s">
        <v>46</v>
      </c>
      <c r="O3" s="3" t="s">
        <v>61</v>
      </c>
      <c r="P3" s="3" t="s">
        <v>62</v>
      </c>
      <c r="Q3" s="3"/>
      <c r="R3" s="3" t="s">
        <v>63</v>
      </c>
      <c r="S3" s="3"/>
      <c r="T3" s="3"/>
      <c r="U3" s="3"/>
      <c r="V3" s="3" t="s">
        <v>50</v>
      </c>
      <c r="W3" s="3" t="s">
        <v>50</v>
      </c>
      <c r="X3" s="3" t="s">
        <v>51</v>
      </c>
      <c r="Y3" s="3" t="s">
        <v>52</v>
      </c>
      <c r="Z3" s="3" t="s">
        <v>53</v>
      </c>
    </row>
    <row r="4" customFormat="false" ht="15" hidden="false" customHeight="false" outlineLevel="0" collapsed="false">
      <c r="A4" s="3" t="s">
        <v>64</v>
      </c>
      <c r="B4" s="3" t="s">
        <v>65</v>
      </c>
      <c r="C4" s="3" t="s">
        <v>65</v>
      </c>
      <c r="D4" s="3"/>
      <c r="E4" s="3" t="s">
        <v>66</v>
      </c>
      <c r="F4" s="3" t="s">
        <v>67</v>
      </c>
      <c r="G4" s="3" t="s">
        <v>67</v>
      </c>
      <c r="H4" s="3" t="s">
        <v>40</v>
      </c>
      <c r="I4" s="3" t="s">
        <v>41</v>
      </c>
      <c r="J4" s="3" t="s">
        <v>65</v>
      </c>
      <c r="K4" s="3" t="s">
        <v>43</v>
      </c>
      <c r="L4" s="3" t="s">
        <v>59</v>
      </c>
      <c r="M4" s="3"/>
      <c r="N4" s="3" t="s">
        <v>46</v>
      </c>
      <c r="O4" s="3" t="s">
        <v>68</v>
      </c>
      <c r="P4" s="3" t="s">
        <v>69</v>
      </c>
      <c r="Q4" s="3"/>
      <c r="R4" s="3" t="s">
        <v>70</v>
      </c>
      <c r="S4" s="3"/>
      <c r="T4" s="3"/>
      <c r="U4" s="3"/>
      <c r="V4" s="3" t="s">
        <v>50</v>
      </c>
      <c r="W4" s="3" t="s">
        <v>50</v>
      </c>
      <c r="X4" s="3" t="s">
        <v>51</v>
      </c>
      <c r="Y4" s="3" t="s">
        <v>52</v>
      </c>
      <c r="Z4" s="3" t="s">
        <v>53</v>
      </c>
    </row>
    <row r="5" customFormat="false" ht="15" hidden="false" customHeight="false" outlineLevel="0" collapsed="false">
      <c r="A5" s="3" t="s">
        <v>71</v>
      </c>
      <c r="B5" s="3" t="s">
        <v>72</v>
      </c>
      <c r="C5" s="3" t="s">
        <v>72</v>
      </c>
      <c r="D5" s="3"/>
      <c r="E5" s="3" t="s">
        <v>73</v>
      </c>
      <c r="F5" s="3" t="s">
        <v>67</v>
      </c>
      <c r="G5" s="3" t="s">
        <v>67</v>
      </c>
      <c r="H5" s="3" t="s">
        <v>40</v>
      </c>
      <c r="I5" s="3" t="s">
        <v>41</v>
      </c>
      <c r="J5" s="3" t="s">
        <v>74</v>
      </c>
      <c r="K5" s="3" t="s">
        <v>75</v>
      </c>
      <c r="L5" s="3" t="s">
        <v>76</v>
      </c>
      <c r="M5" s="3"/>
      <c r="N5" s="3" t="s">
        <v>40</v>
      </c>
      <c r="O5" s="3" t="s">
        <v>77</v>
      </c>
      <c r="P5" s="3" t="s">
        <v>78</v>
      </c>
      <c r="Q5" s="3"/>
      <c r="R5" s="3" t="s">
        <v>79</v>
      </c>
      <c r="S5" s="3"/>
      <c r="T5" s="3"/>
      <c r="U5" s="3"/>
      <c r="V5" s="3" t="s">
        <v>50</v>
      </c>
      <c r="W5" s="3" t="s">
        <v>50</v>
      </c>
      <c r="X5" s="3" t="s">
        <v>51</v>
      </c>
      <c r="Y5" s="3" t="s">
        <v>52</v>
      </c>
      <c r="Z5" s="3" t="s">
        <v>53</v>
      </c>
    </row>
    <row r="6" customFormat="false" ht="15" hidden="false" customHeight="false" outlineLevel="0" collapsed="false">
      <c r="A6" s="3" t="s">
        <v>80</v>
      </c>
      <c r="B6" s="3" t="s">
        <v>81</v>
      </c>
      <c r="C6" s="3" t="s">
        <v>81</v>
      </c>
      <c r="D6" s="3"/>
      <c r="E6" s="3" t="s">
        <v>82</v>
      </c>
      <c r="F6" s="3" t="s">
        <v>83</v>
      </c>
      <c r="G6" s="3" t="s">
        <v>83</v>
      </c>
      <c r="H6" s="3" t="s">
        <v>40</v>
      </c>
      <c r="I6" s="3" t="s">
        <v>41</v>
      </c>
      <c r="J6" s="3" t="s">
        <v>74</v>
      </c>
      <c r="K6" s="3" t="s">
        <v>75</v>
      </c>
      <c r="L6" s="3" t="s">
        <v>76</v>
      </c>
      <c r="M6" s="3"/>
      <c r="N6" s="3" t="s">
        <v>40</v>
      </c>
      <c r="O6" s="3" t="s">
        <v>84</v>
      </c>
      <c r="P6" s="3" t="s">
        <v>85</v>
      </c>
      <c r="Q6" s="3"/>
      <c r="R6" s="3" t="s">
        <v>79</v>
      </c>
      <c r="S6" s="3"/>
      <c r="T6" s="3"/>
      <c r="U6" s="3"/>
      <c r="V6" s="3" t="s">
        <v>50</v>
      </c>
      <c r="W6" s="3" t="s">
        <v>50</v>
      </c>
      <c r="X6" s="3" t="s">
        <v>51</v>
      </c>
      <c r="Y6" s="3" t="s">
        <v>52</v>
      </c>
      <c r="Z6" s="3" t="s">
        <v>53</v>
      </c>
    </row>
    <row r="7" customFormat="false" ht="15" hidden="false" customHeight="false" outlineLevel="0" collapsed="false">
      <c r="A7" s="3" t="s">
        <v>86</v>
      </c>
      <c r="B7" s="3" t="s">
        <v>87</v>
      </c>
      <c r="C7" s="3" t="s">
        <v>87</v>
      </c>
      <c r="D7" s="3"/>
      <c r="E7" s="3" t="s">
        <v>88</v>
      </c>
      <c r="F7" s="3" t="s">
        <v>89</v>
      </c>
      <c r="G7" s="3" t="s">
        <v>89</v>
      </c>
      <c r="H7" s="3" t="s">
        <v>40</v>
      </c>
      <c r="I7" s="3" t="s">
        <v>41</v>
      </c>
      <c r="J7" s="3" t="s">
        <v>87</v>
      </c>
      <c r="K7" s="3" t="s">
        <v>75</v>
      </c>
      <c r="L7" s="3" t="s">
        <v>76</v>
      </c>
      <c r="M7" s="3" t="s">
        <v>90</v>
      </c>
      <c r="N7" s="3" t="s">
        <v>40</v>
      </c>
      <c r="O7" s="3" t="s">
        <v>91</v>
      </c>
      <c r="P7" s="3" t="s">
        <v>92</v>
      </c>
      <c r="Q7" s="3"/>
      <c r="R7" s="3" t="s">
        <v>93</v>
      </c>
      <c r="S7" s="3"/>
      <c r="T7" s="3"/>
      <c r="U7" s="3"/>
      <c r="V7" s="3" t="s">
        <v>50</v>
      </c>
      <c r="W7" s="3" t="s">
        <v>50</v>
      </c>
      <c r="X7" s="3" t="s">
        <v>51</v>
      </c>
      <c r="Y7" s="3" t="s">
        <v>52</v>
      </c>
      <c r="Z7" s="3" t="s">
        <v>53</v>
      </c>
    </row>
    <row r="8" customFormat="false" ht="15" hidden="false" customHeight="false" outlineLevel="0" collapsed="false">
      <c r="A8" s="3" t="s">
        <v>94</v>
      </c>
      <c r="B8" s="3" t="s">
        <v>95</v>
      </c>
      <c r="C8" s="3" t="s">
        <v>95</v>
      </c>
      <c r="D8" s="3"/>
      <c r="E8" s="3" t="s">
        <v>96</v>
      </c>
      <c r="F8" s="3" t="s">
        <v>97</v>
      </c>
      <c r="G8" s="3" t="s">
        <v>97</v>
      </c>
      <c r="H8" s="3" t="s">
        <v>40</v>
      </c>
      <c r="I8" s="3" t="s">
        <v>41</v>
      </c>
      <c r="J8" s="3" t="s">
        <v>95</v>
      </c>
      <c r="K8" s="3" t="s">
        <v>43</v>
      </c>
      <c r="L8" s="3" t="s">
        <v>98</v>
      </c>
      <c r="M8" s="3" t="s">
        <v>99</v>
      </c>
      <c r="N8" s="3" t="s">
        <v>46</v>
      </c>
      <c r="O8" s="3" t="s">
        <v>100</v>
      </c>
      <c r="P8" s="3" t="s">
        <v>101</v>
      </c>
      <c r="Q8" s="3"/>
      <c r="R8" s="3" t="s">
        <v>102</v>
      </c>
      <c r="S8" s="3"/>
      <c r="T8" s="3"/>
      <c r="U8" s="3"/>
      <c r="V8" s="3" t="s">
        <v>50</v>
      </c>
      <c r="W8" s="3" t="s">
        <v>50</v>
      </c>
      <c r="X8" s="3" t="s">
        <v>51</v>
      </c>
      <c r="Y8" s="3" t="s">
        <v>52</v>
      </c>
      <c r="Z8" s="3" t="s">
        <v>53</v>
      </c>
    </row>
    <row r="9" customFormat="false" ht="15" hidden="false" customHeight="false" outlineLevel="0" collapsed="false">
      <c r="A9" s="3" t="s">
        <v>103</v>
      </c>
      <c r="B9" s="3" t="s">
        <v>104</v>
      </c>
      <c r="C9" s="3" t="s">
        <v>104</v>
      </c>
      <c r="D9" s="3"/>
      <c r="E9" s="3" t="s">
        <v>105</v>
      </c>
      <c r="F9" s="3" t="s">
        <v>89</v>
      </c>
      <c r="G9" s="3" t="s">
        <v>89</v>
      </c>
      <c r="H9" s="3" t="s">
        <v>40</v>
      </c>
      <c r="I9" s="3" t="s">
        <v>41</v>
      </c>
      <c r="J9" s="3" t="s">
        <v>42</v>
      </c>
      <c r="K9" s="3" t="s">
        <v>43</v>
      </c>
      <c r="L9" s="3" t="s">
        <v>44</v>
      </c>
      <c r="M9" s="3" t="s">
        <v>45</v>
      </c>
      <c r="N9" s="3" t="s">
        <v>46</v>
      </c>
      <c r="O9" s="3" t="s">
        <v>106</v>
      </c>
      <c r="P9" s="3" t="s">
        <v>107</v>
      </c>
      <c r="Q9" s="3"/>
      <c r="R9" s="3" t="s">
        <v>49</v>
      </c>
      <c r="S9" s="3"/>
      <c r="T9" s="3"/>
      <c r="U9" s="3"/>
      <c r="V9" s="3" t="s">
        <v>50</v>
      </c>
      <c r="W9" s="3" t="s">
        <v>50</v>
      </c>
      <c r="X9" s="3" t="s">
        <v>51</v>
      </c>
      <c r="Y9" s="3" t="s">
        <v>52</v>
      </c>
      <c r="Z9" s="3" t="s">
        <v>53</v>
      </c>
    </row>
    <row r="10" customFormat="false" ht="15" hidden="false" customHeight="false" outlineLevel="0" collapsed="false">
      <c r="A10" s="3" t="s">
        <v>108</v>
      </c>
      <c r="B10" s="3" t="s">
        <v>109</v>
      </c>
      <c r="C10" s="3" t="s">
        <v>109</v>
      </c>
      <c r="D10" s="3"/>
      <c r="E10" s="3" t="s">
        <v>56</v>
      </c>
      <c r="F10" s="3" t="s">
        <v>57</v>
      </c>
      <c r="G10" s="3" t="s">
        <v>57</v>
      </c>
      <c r="H10" s="3" t="s">
        <v>40</v>
      </c>
      <c r="I10" s="3" t="s">
        <v>41</v>
      </c>
      <c r="J10" s="3" t="s">
        <v>110</v>
      </c>
      <c r="K10" s="3" t="s">
        <v>43</v>
      </c>
      <c r="L10" s="3" t="s">
        <v>59</v>
      </c>
      <c r="M10" s="3" t="s">
        <v>111</v>
      </c>
      <c r="N10" s="3" t="s">
        <v>46</v>
      </c>
      <c r="O10" s="3" t="s">
        <v>112</v>
      </c>
      <c r="P10" s="3" t="s">
        <v>113</v>
      </c>
      <c r="Q10" s="3"/>
      <c r="R10" s="3" t="s">
        <v>114</v>
      </c>
      <c r="S10" s="3"/>
      <c r="T10" s="3"/>
      <c r="U10" s="3"/>
      <c r="V10" s="3" t="s">
        <v>50</v>
      </c>
      <c r="W10" s="3" t="s">
        <v>50</v>
      </c>
      <c r="X10" s="3" t="s">
        <v>51</v>
      </c>
      <c r="Y10" s="3" t="s">
        <v>52</v>
      </c>
      <c r="Z10" s="3" t="s">
        <v>53</v>
      </c>
    </row>
    <row r="11" customFormat="false" ht="15" hidden="false" customHeight="false" outlineLevel="0" collapsed="false">
      <c r="A11" s="3" t="s">
        <v>115</v>
      </c>
      <c r="B11" s="3" t="s">
        <v>116</v>
      </c>
      <c r="C11" s="3" t="s">
        <v>116</v>
      </c>
      <c r="D11" s="3"/>
      <c r="E11" s="3" t="s">
        <v>117</v>
      </c>
      <c r="F11" s="3" t="s">
        <v>118</v>
      </c>
      <c r="G11" s="3" t="s">
        <v>118</v>
      </c>
      <c r="H11" s="3" t="s">
        <v>40</v>
      </c>
      <c r="I11" s="3" t="s">
        <v>41</v>
      </c>
      <c r="J11" s="3" t="s">
        <v>42</v>
      </c>
      <c r="K11" s="3" t="s">
        <v>43</v>
      </c>
      <c r="L11" s="3" t="s">
        <v>44</v>
      </c>
      <c r="M11" s="3" t="s">
        <v>45</v>
      </c>
      <c r="N11" s="3" t="s">
        <v>46</v>
      </c>
      <c r="O11" s="3" t="s">
        <v>119</v>
      </c>
      <c r="P11" s="3" t="s">
        <v>120</v>
      </c>
      <c r="Q11" s="3"/>
      <c r="R11" s="3" t="s">
        <v>49</v>
      </c>
      <c r="S11" s="3"/>
      <c r="T11" s="3"/>
      <c r="U11" s="3"/>
      <c r="V11" s="3" t="s">
        <v>50</v>
      </c>
      <c r="W11" s="3" t="s">
        <v>50</v>
      </c>
      <c r="X11" s="3" t="s">
        <v>51</v>
      </c>
      <c r="Y11" s="3" t="s">
        <v>52</v>
      </c>
      <c r="Z11" s="3" t="s">
        <v>53</v>
      </c>
    </row>
    <row r="12" customFormat="false" ht="15" hidden="false" customHeight="false" outlineLevel="0" collapsed="false">
      <c r="A12" s="3" t="s">
        <v>121</v>
      </c>
      <c r="B12" s="3" t="s">
        <v>122</v>
      </c>
      <c r="C12" s="3" t="s">
        <v>122</v>
      </c>
      <c r="D12" s="3"/>
      <c r="E12" s="3" t="s">
        <v>123</v>
      </c>
      <c r="F12" s="3" t="s">
        <v>89</v>
      </c>
      <c r="G12" s="3" t="s">
        <v>89</v>
      </c>
      <c r="H12" s="3" t="s">
        <v>40</v>
      </c>
      <c r="I12" s="3" t="s">
        <v>41</v>
      </c>
      <c r="J12" s="3" t="s">
        <v>122</v>
      </c>
      <c r="K12" s="3" t="s">
        <v>75</v>
      </c>
      <c r="L12" s="3" t="s">
        <v>76</v>
      </c>
      <c r="M12" s="3"/>
      <c r="N12" s="3" t="s">
        <v>40</v>
      </c>
      <c r="O12" s="3" t="s">
        <v>124</v>
      </c>
      <c r="P12" s="3" t="s">
        <v>125</v>
      </c>
      <c r="Q12" s="3"/>
      <c r="R12" s="3" t="s">
        <v>126</v>
      </c>
      <c r="S12" s="3"/>
      <c r="T12" s="3"/>
      <c r="U12" s="3"/>
      <c r="V12" s="3" t="s">
        <v>50</v>
      </c>
      <c r="W12" s="3" t="s">
        <v>50</v>
      </c>
      <c r="X12" s="3" t="s">
        <v>51</v>
      </c>
      <c r="Y12" s="3" t="s">
        <v>52</v>
      </c>
      <c r="Z12" s="3" t="s">
        <v>53</v>
      </c>
    </row>
    <row r="13" customFormat="false" ht="15" hidden="false" customHeight="false" outlineLevel="0" collapsed="false">
      <c r="A13" s="3" t="s">
        <v>127</v>
      </c>
      <c r="B13" s="3" t="s">
        <v>128</v>
      </c>
      <c r="C13" s="3" t="s">
        <v>128</v>
      </c>
      <c r="D13" s="3"/>
      <c r="E13" s="3" t="s">
        <v>56</v>
      </c>
      <c r="F13" s="3" t="s">
        <v>57</v>
      </c>
      <c r="G13" s="3" t="s">
        <v>57</v>
      </c>
      <c r="H13" s="3" t="s">
        <v>40</v>
      </c>
      <c r="I13" s="3" t="s">
        <v>41</v>
      </c>
      <c r="J13" s="3" t="s">
        <v>122</v>
      </c>
      <c r="K13" s="3" t="s">
        <v>75</v>
      </c>
      <c r="L13" s="3" t="s">
        <v>76</v>
      </c>
      <c r="M13" s="3"/>
      <c r="N13" s="3" t="s">
        <v>40</v>
      </c>
      <c r="O13" s="3" t="s">
        <v>129</v>
      </c>
      <c r="P13" s="3" t="s">
        <v>130</v>
      </c>
      <c r="Q13" s="3"/>
      <c r="R13" s="3" t="s">
        <v>126</v>
      </c>
      <c r="S13" s="3"/>
      <c r="T13" s="3"/>
      <c r="U13" s="3"/>
      <c r="V13" s="3" t="s">
        <v>50</v>
      </c>
      <c r="W13" s="3" t="s">
        <v>50</v>
      </c>
      <c r="X13" s="3" t="s">
        <v>51</v>
      </c>
      <c r="Y13" s="3" t="s">
        <v>52</v>
      </c>
      <c r="Z13" s="3" t="s">
        <v>53</v>
      </c>
    </row>
    <row r="14" customFormat="false" ht="15" hidden="false" customHeight="false" outlineLevel="0" collapsed="false">
      <c r="A14" s="3" t="s">
        <v>131</v>
      </c>
      <c r="B14" s="3" t="s">
        <v>132</v>
      </c>
      <c r="C14" s="3" t="s">
        <v>133</v>
      </c>
      <c r="D14" s="3" t="s">
        <v>133</v>
      </c>
      <c r="E14" s="3" t="s">
        <v>134</v>
      </c>
      <c r="F14" s="3" t="s">
        <v>83</v>
      </c>
      <c r="G14" s="3" t="s">
        <v>83</v>
      </c>
      <c r="H14" s="3" t="s">
        <v>40</v>
      </c>
      <c r="I14" s="3" t="s">
        <v>135</v>
      </c>
      <c r="J14" s="3" t="s">
        <v>42</v>
      </c>
      <c r="K14" s="3" t="s">
        <v>43</v>
      </c>
      <c r="L14" s="3" t="s">
        <v>44</v>
      </c>
      <c r="M14" s="3" t="s">
        <v>45</v>
      </c>
      <c r="N14" s="3" t="s">
        <v>46</v>
      </c>
      <c r="O14" s="3" t="s">
        <v>136</v>
      </c>
      <c r="P14" s="3" t="s">
        <v>137</v>
      </c>
      <c r="Q14" s="3"/>
      <c r="R14" s="3" t="s">
        <v>49</v>
      </c>
      <c r="S14" s="3"/>
      <c r="T14" s="3"/>
      <c r="U14" s="3"/>
      <c r="V14" s="3" t="s">
        <v>50</v>
      </c>
      <c r="W14" s="3" t="s">
        <v>50</v>
      </c>
      <c r="X14" s="3" t="s">
        <v>51</v>
      </c>
      <c r="Y14" s="3" t="s">
        <v>52</v>
      </c>
      <c r="Z14" s="3" t="s">
        <v>53</v>
      </c>
    </row>
    <row r="15" customFormat="false" ht="15" hidden="false" customHeight="false" outlineLevel="0" collapsed="false">
      <c r="A15" s="3" t="s">
        <v>138</v>
      </c>
      <c r="B15" s="3" t="s">
        <v>139</v>
      </c>
      <c r="C15" s="3" t="s">
        <v>140</v>
      </c>
      <c r="D15" s="3" t="s">
        <v>140</v>
      </c>
      <c r="E15" s="3" t="s">
        <v>141</v>
      </c>
      <c r="F15" s="3" t="s">
        <v>83</v>
      </c>
      <c r="G15" s="3" t="s">
        <v>83</v>
      </c>
      <c r="H15" s="3" t="s">
        <v>40</v>
      </c>
      <c r="I15" s="3" t="s">
        <v>135</v>
      </c>
      <c r="J15" s="3" t="s">
        <v>42</v>
      </c>
      <c r="K15" s="3" t="s">
        <v>43</v>
      </c>
      <c r="L15" s="3" t="s">
        <v>44</v>
      </c>
      <c r="M15" s="3" t="s">
        <v>45</v>
      </c>
      <c r="N15" s="3" t="s">
        <v>46</v>
      </c>
      <c r="O15" s="3" t="s">
        <v>142</v>
      </c>
      <c r="P15" s="3" t="s">
        <v>143</v>
      </c>
      <c r="Q15" s="3"/>
      <c r="R15" s="3" t="s">
        <v>49</v>
      </c>
      <c r="S15" s="3"/>
      <c r="T15" s="3"/>
      <c r="U15" s="3"/>
      <c r="V15" s="3" t="s">
        <v>50</v>
      </c>
      <c r="W15" s="3" t="s">
        <v>50</v>
      </c>
      <c r="X15" s="3" t="s">
        <v>51</v>
      </c>
      <c r="Y15" s="3" t="s">
        <v>52</v>
      </c>
      <c r="Z15" s="3" t="s">
        <v>53</v>
      </c>
    </row>
    <row r="16" customFormat="false" ht="15" hidden="false" customHeight="false" outlineLevel="0" collapsed="false">
      <c r="A16" s="3" t="s">
        <v>144</v>
      </c>
      <c r="B16" s="3" t="s">
        <v>145</v>
      </c>
      <c r="C16" s="3" t="s">
        <v>146</v>
      </c>
      <c r="D16" s="3" t="s">
        <v>146</v>
      </c>
      <c r="E16" s="3" t="s">
        <v>147</v>
      </c>
      <c r="F16" s="3" t="s">
        <v>83</v>
      </c>
      <c r="G16" s="3" t="s">
        <v>83</v>
      </c>
      <c r="H16" s="3" t="s">
        <v>40</v>
      </c>
      <c r="I16" s="3" t="s">
        <v>135</v>
      </c>
      <c r="J16" s="3" t="s">
        <v>42</v>
      </c>
      <c r="K16" s="3" t="s">
        <v>43</v>
      </c>
      <c r="L16" s="3" t="s">
        <v>44</v>
      </c>
      <c r="M16" s="3" t="s">
        <v>45</v>
      </c>
      <c r="N16" s="3" t="s">
        <v>46</v>
      </c>
      <c r="O16" s="3" t="s">
        <v>148</v>
      </c>
      <c r="P16" s="3" t="s">
        <v>149</v>
      </c>
      <c r="Q16" s="3"/>
      <c r="R16" s="3" t="s">
        <v>49</v>
      </c>
      <c r="S16" s="3"/>
      <c r="T16" s="3"/>
      <c r="U16" s="3"/>
      <c r="V16" s="3" t="s">
        <v>50</v>
      </c>
      <c r="W16" s="3" t="s">
        <v>50</v>
      </c>
      <c r="X16" s="3" t="s">
        <v>51</v>
      </c>
      <c r="Y16" s="3" t="s">
        <v>52</v>
      </c>
      <c r="Z16" s="3" t="s">
        <v>53</v>
      </c>
    </row>
    <row r="17" customFormat="false" ht="15" hidden="false" customHeight="false" outlineLevel="0" collapsed="false">
      <c r="A17" s="3" t="s">
        <v>150</v>
      </c>
      <c r="B17" s="3" t="s">
        <v>151</v>
      </c>
      <c r="C17" s="3" t="s">
        <v>152</v>
      </c>
      <c r="D17" s="3" t="s">
        <v>152</v>
      </c>
      <c r="E17" s="3" t="s">
        <v>153</v>
      </c>
      <c r="F17" s="3" t="s">
        <v>83</v>
      </c>
      <c r="G17" s="3" t="s">
        <v>83</v>
      </c>
      <c r="H17" s="3" t="s">
        <v>40</v>
      </c>
      <c r="I17" s="3" t="s">
        <v>135</v>
      </c>
      <c r="J17" s="3" t="s">
        <v>42</v>
      </c>
      <c r="K17" s="3" t="s">
        <v>43</v>
      </c>
      <c r="L17" s="3" t="s">
        <v>44</v>
      </c>
      <c r="M17" s="3" t="s">
        <v>45</v>
      </c>
      <c r="N17" s="3" t="s">
        <v>46</v>
      </c>
      <c r="O17" s="3" t="s">
        <v>154</v>
      </c>
      <c r="P17" s="3" t="s">
        <v>155</v>
      </c>
      <c r="Q17" s="3"/>
      <c r="R17" s="3" t="s">
        <v>49</v>
      </c>
      <c r="S17" s="3"/>
      <c r="T17" s="3"/>
      <c r="U17" s="3"/>
      <c r="V17" s="3" t="s">
        <v>50</v>
      </c>
      <c r="W17" s="3" t="s">
        <v>50</v>
      </c>
      <c r="X17" s="3" t="s">
        <v>51</v>
      </c>
      <c r="Y17" s="3" t="s">
        <v>52</v>
      </c>
      <c r="Z17" s="3" t="s">
        <v>53</v>
      </c>
    </row>
    <row r="18" customFormat="false" ht="15" hidden="false" customHeight="false" outlineLevel="0" collapsed="false">
      <c r="A18" s="3" t="s">
        <v>156</v>
      </c>
      <c r="B18" s="3" t="s">
        <v>157</v>
      </c>
      <c r="C18" s="3" t="s">
        <v>158</v>
      </c>
      <c r="D18" s="3" t="s">
        <v>158</v>
      </c>
      <c r="E18" s="3" t="s">
        <v>159</v>
      </c>
      <c r="F18" s="3" t="s">
        <v>57</v>
      </c>
      <c r="G18" s="3" t="s">
        <v>57</v>
      </c>
      <c r="H18" s="3" t="s">
        <v>40</v>
      </c>
      <c r="I18" s="3" t="s">
        <v>135</v>
      </c>
      <c r="J18" s="3" t="s">
        <v>42</v>
      </c>
      <c r="K18" s="3" t="s">
        <v>43</v>
      </c>
      <c r="L18" s="3" t="s">
        <v>44</v>
      </c>
      <c r="M18" s="3" t="s">
        <v>45</v>
      </c>
      <c r="N18" s="3" t="s">
        <v>46</v>
      </c>
      <c r="O18" s="3" t="s">
        <v>160</v>
      </c>
      <c r="P18" s="3" t="s">
        <v>161</v>
      </c>
      <c r="Q18" s="3"/>
      <c r="R18" s="3" t="s">
        <v>49</v>
      </c>
      <c r="S18" s="3"/>
      <c r="T18" s="3"/>
      <c r="U18" s="3"/>
      <c r="V18" s="3" t="s">
        <v>50</v>
      </c>
      <c r="W18" s="3" t="s">
        <v>50</v>
      </c>
      <c r="X18" s="3" t="s">
        <v>51</v>
      </c>
      <c r="Y18" s="3" t="s">
        <v>52</v>
      </c>
      <c r="Z18" s="3" t="s">
        <v>53</v>
      </c>
    </row>
    <row r="19" customFormat="false" ht="15" hidden="false" customHeight="false" outlineLevel="0" collapsed="false">
      <c r="A19" s="5" t="s">
        <v>162</v>
      </c>
      <c r="B19" s="5" t="s">
        <v>163</v>
      </c>
      <c r="C19" s="5" t="s">
        <v>164</v>
      </c>
      <c r="D19" s="5" t="s">
        <v>164</v>
      </c>
      <c r="E19" s="5" t="s">
        <v>165</v>
      </c>
      <c r="F19" s="5"/>
      <c r="G19" s="5" t="s">
        <v>166</v>
      </c>
      <c r="H19" s="5" t="s">
        <v>46</v>
      </c>
      <c r="I19" s="5" t="s">
        <v>135</v>
      </c>
      <c r="J19" s="5" t="s">
        <v>167</v>
      </c>
      <c r="K19" s="5" t="s">
        <v>75</v>
      </c>
      <c r="L19" s="5" t="s">
        <v>76</v>
      </c>
      <c r="M19" s="5"/>
      <c r="N19" s="5" t="s">
        <v>40</v>
      </c>
      <c r="O19" s="5" t="s">
        <v>168</v>
      </c>
      <c r="P19" s="5" t="s">
        <v>169</v>
      </c>
      <c r="Q19" s="5" t="s">
        <v>170</v>
      </c>
      <c r="R19" s="5" t="s">
        <v>171</v>
      </c>
      <c r="S19" s="5"/>
      <c r="T19" s="5"/>
      <c r="U19" s="5" t="s">
        <v>172</v>
      </c>
      <c r="V19" s="5" t="s">
        <v>50</v>
      </c>
      <c r="W19" s="5" t="s">
        <v>50</v>
      </c>
      <c r="X19" s="5" t="s">
        <v>51</v>
      </c>
      <c r="Y19" s="5" t="s">
        <v>173</v>
      </c>
      <c r="Z19" s="5" t="s">
        <v>174</v>
      </c>
    </row>
    <row r="20" customFormat="false" ht="15" hidden="false" customHeight="false" outlineLevel="0" collapsed="false">
      <c r="A20" s="5" t="s">
        <v>175</v>
      </c>
      <c r="B20" s="5" t="s">
        <v>176</v>
      </c>
      <c r="C20" s="5" t="s">
        <v>177</v>
      </c>
      <c r="D20" s="5" t="s">
        <v>177</v>
      </c>
      <c r="E20" s="5" t="s">
        <v>165</v>
      </c>
      <c r="F20" s="5"/>
      <c r="G20" s="5" t="s">
        <v>166</v>
      </c>
      <c r="H20" s="5" t="s">
        <v>46</v>
      </c>
      <c r="I20" s="5" t="s">
        <v>135</v>
      </c>
      <c r="J20" s="5" t="s">
        <v>178</v>
      </c>
      <c r="K20" s="5" t="s">
        <v>179</v>
      </c>
      <c r="L20" s="5" t="s">
        <v>180</v>
      </c>
      <c r="M20" s="5"/>
      <c r="N20" s="5" t="s">
        <v>40</v>
      </c>
      <c r="O20" s="5" t="s">
        <v>181</v>
      </c>
      <c r="P20" s="5" t="s">
        <v>182</v>
      </c>
      <c r="Q20" s="5" t="s">
        <v>170</v>
      </c>
      <c r="R20" s="5" t="s">
        <v>171</v>
      </c>
      <c r="S20" s="5"/>
      <c r="T20" s="5"/>
      <c r="U20" s="5" t="s">
        <v>183</v>
      </c>
      <c r="V20" s="5" t="s">
        <v>50</v>
      </c>
      <c r="W20" s="5" t="s">
        <v>50</v>
      </c>
      <c r="X20" s="5" t="s">
        <v>51</v>
      </c>
      <c r="Y20" s="5" t="s">
        <v>173</v>
      </c>
      <c r="Z20" s="5" t="s">
        <v>174</v>
      </c>
    </row>
    <row r="21" customFormat="false" ht="15" hidden="false" customHeight="false" outlineLevel="0" collapsed="false">
      <c r="A21" s="6" t="s">
        <v>184</v>
      </c>
      <c r="B21" s="6" t="s">
        <v>185</v>
      </c>
      <c r="C21" s="6" t="s">
        <v>186</v>
      </c>
      <c r="D21" s="6" t="s">
        <v>186</v>
      </c>
      <c r="E21" s="6" t="s">
        <v>187</v>
      </c>
      <c r="F21" s="6"/>
      <c r="G21" s="6" t="s">
        <v>188</v>
      </c>
      <c r="H21" s="6" t="s">
        <v>187</v>
      </c>
      <c r="I21" s="6" t="s">
        <v>135</v>
      </c>
      <c r="J21" s="6" t="s">
        <v>58</v>
      </c>
      <c r="K21" s="6" t="s">
        <v>43</v>
      </c>
      <c r="L21" s="6" t="s">
        <v>59</v>
      </c>
      <c r="M21" s="6" t="s">
        <v>60</v>
      </c>
      <c r="N21" s="6" t="s">
        <v>46</v>
      </c>
      <c r="O21" s="6" t="s">
        <v>189</v>
      </c>
      <c r="P21" s="6" t="s">
        <v>190</v>
      </c>
      <c r="Q21" s="6" t="s">
        <v>191</v>
      </c>
      <c r="R21" s="6" t="s">
        <v>192</v>
      </c>
      <c r="S21" s="6"/>
      <c r="T21" s="6"/>
      <c r="U21" s="6" t="s">
        <v>193</v>
      </c>
      <c r="V21" s="6" t="s">
        <v>50</v>
      </c>
      <c r="W21" s="6" t="s">
        <v>50</v>
      </c>
      <c r="X21" s="6" t="s">
        <v>51</v>
      </c>
      <c r="Y21" s="6" t="s">
        <v>173</v>
      </c>
      <c r="Z21" s="6" t="s">
        <v>194</v>
      </c>
    </row>
    <row r="22" customFormat="false" ht="15" hidden="false" customHeight="false" outlineLevel="0" collapsed="false">
      <c r="A22" s="3" t="s">
        <v>195</v>
      </c>
      <c r="B22" s="3" t="s">
        <v>196</v>
      </c>
      <c r="C22" s="3" t="s">
        <v>197</v>
      </c>
      <c r="D22" s="3" t="s">
        <v>197</v>
      </c>
      <c r="E22" s="3" t="s">
        <v>198</v>
      </c>
      <c r="F22" s="3" t="s">
        <v>83</v>
      </c>
      <c r="G22" s="3" t="s">
        <v>83</v>
      </c>
      <c r="H22" s="3" t="s">
        <v>40</v>
      </c>
      <c r="I22" s="3" t="s">
        <v>135</v>
      </c>
      <c r="J22" s="3" t="s">
        <v>65</v>
      </c>
      <c r="K22" s="3" t="s">
        <v>43</v>
      </c>
      <c r="L22" s="3" t="s">
        <v>59</v>
      </c>
      <c r="M22" s="3"/>
      <c r="N22" s="3" t="s">
        <v>46</v>
      </c>
      <c r="O22" s="3" t="s">
        <v>199</v>
      </c>
      <c r="P22" s="3" t="s">
        <v>200</v>
      </c>
      <c r="Q22" s="3"/>
      <c r="R22" s="3" t="s">
        <v>70</v>
      </c>
      <c r="S22" s="3"/>
      <c r="T22" s="3"/>
      <c r="U22" s="3"/>
      <c r="V22" s="3" t="s">
        <v>50</v>
      </c>
      <c r="W22" s="3" t="s">
        <v>50</v>
      </c>
      <c r="X22" s="3" t="s">
        <v>51</v>
      </c>
      <c r="Y22" s="3" t="s">
        <v>52</v>
      </c>
      <c r="Z22" s="3" t="s">
        <v>53</v>
      </c>
    </row>
    <row r="23" customFormat="false" ht="15" hidden="false" customHeight="false" outlineLevel="0" collapsed="false">
      <c r="A23" s="3" t="s">
        <v>201</v>
      </c>
      <c r="B23" s="3" t="s">
        <v>202</v>
      </c>
      <c r="C23" s="3" t="s">
        <v>203</v>
      </c>
      <c r="D23" s="3" t="s">
        <v>203</v>
      </c>
      <c r="E23" s="3" t="s">
        <v>204</v>
      </c>
      <c r="F23" s="3" t="s">
        <v>57</v>
      </c>
      <c r="G23" s="3" t="s">
        <v>57</v>
      </c>
      <c r="H23" s="3" t="s">
        <v>40</v>
      </c>
      <c r="I23" s="3" t="s">
        <v>135</v>
      </c>
      <c r="J23" s="3" t="s">
        <v>65</v>
      </c>
      <c r="K23" s="3" t="s">
        <v>43</v>
      </c>
      <c r="L23" s="3" t="s">
        <v>59</v>
      </c>
      <c r="M23" s="3"/>
      <c r="N23" s="3" t="s">
        <v>46</v>
      </c>
      <c r="O23" s="3" t="s">
        <v>205</v>
      </c>
      <c r="P23" s="3" t="s">
        <v>206</v>
      </c>
      <c r="Q23" s="3"/>
      <c r="R23" s="3" t="s">
        <v>70</v>
      </c>
      <c r="S23" s="3"/>
      <c r="T23" s="3"/>
      <c r="U23" s="3"/>
      <c r="V23" s="3" t="s">
        <v>50</v>
      </c>
      <c r="W23" s="3" t="s">
        <v>50</v>
      </c>
      <c r="X23" s="3" t="s">
        <v>51</v>
      </c>
      <c r="Y23" s="3" t="s">
        <v>52</v>
      </c>
      <c r="Z23" s="3" t="s">
        <v>53</v>
      </c>
    </row>
    <row r="24" customFormat="false" ht="15" hidden="false" customHeight="false" outlineLevel="0" collapsed="false">
      <c r="A24" s="3" t="s">
        <v>207</v>
      </c>
      <c r="B24" s="3" t="s">
        <v>208</v>
      </c>
      <c r="C24" s="3" t="s">
        <v>209</v>
      </c>
      <c r="D24" s="3" t="s">
        <v>209</v>
      </c>
      <c r="E24" s="3" t="s">
        <v>165</v>
      </c>
      <c r="F24" s="3" t="s">
        <v>210</v>
      </c>
      <c r="G24" s="3" t="s">
        <v>210</v>
      </c>
      <c r="H24" s="3" t="s">
        <v>40</v>
      </c>
      <c r="I24" s="3" t="s">
        <v>135</v>
      </c>
      <c r="J24" s="3" t="s">
        <v>65</v>
      </c>
      <c r="K24" s="3" t="s">
        <v>43</v>
      </c>
      <c r="L24" s="3" t="s">
        <v>59</v>
      </c>
      <c r="M24" s="3"/>
      <c r="N24" s="3" t="s">
        <v>46</v>
      </c>
      <c r="O24" s="3" t="s">
        <v>211</v>
      </c>
      <c r="P24" s="3" t="s">
        <v>212</v>
      </c>
      <c r="Q24" s="3"/>
      <c r="R24" s="3" t="s">
        <v>70</v>
      </c>
      <c r="S24" s="3"/>
      <c r="T24" s="3"/>
      <c r="U24" s="3"/>
      <c r="V24" s="3" t="s">
        <v>50</v>
      </c>
      <c r="W24" s="3" t="s">
        <v>50</v>
      </c>
      <c r="X24" s="3" t="s">
        <v>51</v>
      </c>
      <c r="Y24" s="3" t="s">
        <v>52</v>
      </c>
      <c r="Z24" s="3" t="s">
        <v>53</v>
      </c>
    </row>
    <row r="25" customFormat="false" ht="15" hidden="false" customHeight="false" outlineLevel="0" collapsed="false">
      <c r="A25" s="6" t="s">
        <v>213</v>
      </c>
      <c r="B25" s="6" t="s">
        <v>214</v>
      </c>
      <c r="C25" s="6" t="s">
        <v>215</v>
      </c>
      <c r="D25" s="6" t="s">
        <v>215</v>
      </c>
      <c r="E25" s="6" t="s">
        <v>165</v>
      </c>
      <c r="F25" s="6"/>
      <c r="G25" s="6" t="s">
        <v>188</v>
      </c>
      <c r="H25" s="6" t="s">
        <v>187</v>
      </c>
      <c r="I25" s="6" t="s">
        <v>135</v>
      </c>
      <c r="J25" s="6" t="s">
        <v>65</v>
      </c>
      <c r="K25" s="6" t="s">
        <v>43</v>
      </c>
      <c r="L25" s="6" t="s">
        <v>59</v>
      </c>
      <c r="M25" s="6"/>
      <c r="N25" s="6" t="s">
        <v>46</v>
      </c>
      <c r="O25" s="6" t="s">
        <v>216</v>
      </c>
      <c r="P25" s="6" t="s">
        <v>217</v>
      </c>
      <c r="Q25" s="6" t="s">
        <v>170</v>
      </c>
      <c r="R25" s="6" t="s">
        <v>70</v>
      </c>
      <c r="S25" s="6"/>
      <c r="T25" s="6"/>
      <c r="U25" s="6" t="s">
        <v>218</v>
      </c>
      <c r="V25" s="6" t="s">
        <v>50</v>
      </c>
      <c r="W25" s="6" t="s">
        <v>50</v>
      </c>
      <c r="X25" s="6" t="s">
        <v>51</v>
      </c>
      <c r="Y25" s="6" t="s">
        <v>173</v>
      </c>
      <c r="Z25" s="6" t="s">
        <v>194</v>
      </c>
    </row>
    <row r="26" customFormat="false" ht="15" hidden="false" customHeight="false" outlineLevel="0" collapsed="false">
      <c r="A26" s="5" t="s">
        <v>219</v>
      </c>
      <c r="B26" s="5" t="s">
        <v>220</v>
      </c>
      <c r="C26" s="5" t="s">
        <v>221</v>
      </c>
      <c r="D26" s="5" t="s">
        <v>221</v>
      </c>
      <c r="E26" s="5" t="s">
        <v>222</v>
      </c>
      <c r="F26" s="5"/>
      <c r="G26" s="5" t="s">
        <v>166</v>
      </c>
      <c r="H26" s="5" t="s">
        <v>46</v>
      </c>
      <c r="I26" s="5" t="s">
        <v>135</v>
      </c>
      <c r="J26" s="5" t="s">
        <v>65</v>
      </c>
      <c r="K26" s="5" t="s">
        <v>43</v>
      </c>
      <c r="L26" s="5" t="s">
        <v>59</v>
      </c>
      <c r="M26" s="5"/>
      <c r="N26" s="5" t="s">
        <v>46</v>
      </c>
      <c r="O26" s="5" t="s">
        <v>223</v>
      </c>
      <c r="P26" s="5" t="s">
        <v>224</v>
      </c>
      <c r="Q26" s="5" t="s">
        <v>225</v>
      </c>
      <c r="R26" s="5" t="s">
        <v>171</v>
      </c>
      <c r="S26" s="5"/>
      <c r="T26" s="5"/>
      <c r="U26" s="5" t="s">
        <v>226</v>
      </c>
      <c r="V26" s="5" t="s">
        <v>50</v>
      </c>
      <c r="W26" s="5" t="s">
        <v>50</v>
      </c>
      <c r="X26" s="5" t="s">
        <v>51</v>
      </c>
      <c r="Y26" s="5" t="s">
        <v>173</v>
      </c>
      <c r="Z26" s="5" t="s">
        <v>174</v>
      </c>
    </row>
    <row r="27" customFormat="false" ht="15" hidden="false" customHeight="false" outlineLevel="0" collapsed="false">
      <c r="A27" s="3" t="s">
        <v>227</v>
      </c>
      <c r="B27" s="3" t="s">
        <v>228</v>
      </c>
      <c r="C27" s="3" t="s">
        <v>229</v>
      </c>
      <c r="D27" s="3" t="s">
        <v>229</v>
      </c>
      <c r="E27" s="3" t="s">
        <v>230</v>
      </c>
      <c r="F27" s="3" t="s">
        <v>57</v>
      </c>
      <c r="G27" s="3" t="s">
        <v>57</v>
      </c>
      <c r="H27" s="3" t="s">
        <v>40</v>
      </c>
      <c r="I27" s="3" t="s">
        <v>135</v>
      </c>
      <c r="J27" s="3" t="s">
        <v>74</v>
      </c>
      <c r="K27" s="3" t="s">
        <v>75</v>
      </c>
      <c r="L27" s="3" t="s">
        <v>76</v>
      </c>
      <c r="M27" s="3"/>
      <c r="N27" s="3" t="s">
        <v>40</v>
      </c>
      <c r="O27" s="3" t="s">
        <v>231</v>
      </c>
      <c r="P27" s="3" t="s">
        <v>232</v>
      </c>
      <c r="Q27" s="3"/>
      <c r="R27" s="3" t="s">
        <v>79</v>
      </c>
      <c r="S27" s="3"/>
      <c r="T27" s="3"/>
      <c r="U27" s="3"/>
      <c r="V27" s="3" t="s">
        <v>50</v>
      </c>
      <c r="W27" s="3" t="s">
        <v>50</v>
      </c>
      <c r="X27" s="3" t="s">
        <v>51</v>
      </c>
      <c r="Y27" s="3" t="s">
        <v>52</v>
      </c>
      <c r="Z27" s="3" t="s">
        <v>53</v>
      </c>
    </row>
    <row r="28" customFormat="false" ht="15" hidden="false" customHeight="false" outlineLevel="0" collapsed="false">
      <c r="A28" s="3" t="s">
        <v>233</v>
      </c>
      <c r="B28" s="3" t="s">
        <v>234</v>
      </c>
      <c r="C28" s="3" t="s">
        <v>235</v>
      </c>
      <c r="D28" s="3" t="s">
        <v>235</v>
      </c>
      <c r="E28" s="3" t="s">
        <v>236</v>
      </c>
      <c r="F28" s="3" t="s">
        <v>57</v>
      </c>
      <c r="G28" s="3" t="s">
        <v>57</v>
      </c>
      <c r="H28" s="3" t="s">
        <v>40</v>
      </c>
      <c r="I28" s="3" t="s">
        <v>135</v>
      </c>
      <c r="J28" s="3" t="s">
        <v>74</v>
      </c>
      <c r="K28" s="3" t="s">
        <v>75</v>
      </c>
      <c r="L28" s="3" t="s">
        <v>76</v>
      </c>
      <c r="M28" s="3"/>
      <c r="N28" s="3" t="s">
        <v>40</v>
      </c>
      <c r="O28" s="3" t="s">
        <v>237</v>
      </c>
      <c r="P28" s="3" t="s">
        <v>238</v>
      </c>
      <c r="Q28" s="3"/>
      <c r="R28" s="3" t="s">
        <v>79</v>
      </c>
      <c r="S28" s="3"/>
      <c r="T28" s="3"/>
      <c r="U28" s="3"/>
      <c r="V28" s="3" t="s">
        <v>50</v>
      </c>
      <c r="W28" s="3" t="s">
        <v>50</v>
      </c>
      <c r="X28" s="3" t="s">
        <v>51</v>
      </c>
      <c r="Y28" s="3" t="s">
        <v>52</v>
      </c>
      <c r="Z28" s="3" t="s">
        <v>53</v>
      </c>
    </row>
    <row r="29" customFormat="false" ht="15" hidden="false" customHeight="false" outlineLevel="0" collapsed="false">
      <c r="A29" s="6" t="s">
        <v>239</v>
      </c>
      <c r="B29" s="6" t="s">
        <v>240</v>
      </c>
      <c r="C29" s="6" t="s">
        <v>241</v>
      </c>
      <c r="D29" s="6" t="s">
        <v>241</v>
      </c>
      <c r="E29" s="6" t="s">
        <v>242</v>
      </c>
      <c r="F29" s="6"/>
      <c r="G29" s="6" t="s">
        <v>188</v>
      </c>
      <c r="H29" s="6" t="s">
        <v>187</v>
      </c>
      <c r="I29" s="6" t="s">
        <v>135</v>
      </c>
      <c r="J29" s="6" t="s">
        <v>74</v>
      </c>
      <c r="K29" s="6" t="s">
        <v>75</v>
      </c>
      <c r="L29" s="6" t="s">
        <v>76</v>
      </c>
      <c r="M29" s="6"/>
      <c r="N29" s="6" t="s">
        <v>40</v>
      </c>
      <c r="O29" s="6" t="s">
        <v>243</v>
      </c>
      <c r="P29" s="6" t="s">
        <v>244</v>
      </c>
      <c r="Q29" s="6" t="s">
        <v>245</v>
      </c>
      <c r="R29" s="6" t="s">
        <v>192</v>
      </c>
      <c r="S29" s="6"/>
      <c r="T29" s="6"/>
      <c r="U29" s="6" t="s">
        <v>246</v>
      </c>
      <c r="V29" s="6" t="s">
        <v>50</v>
      </c>
      <c r="W29" s="6" t="s">
        <v>50</v>
      </c>
      <c r="X29" s="6" t="s">
        <v>51</v>
      </c>
      <c r="Y29" s="6" t="s">
        <v>173</v>
      </c>
      <c r="Z29" s="6" t="s">
        <v>194</v>
      </c>
    </row>
    <row r="30" customFormat="false" ht="15" hidden="false" customHeight="false" outlineLevel="0" collapsed="false">
      <c r="A30" s="5" t="s">
        <v>247</v>
      </c>
      <c r="B30" s="5" t="s">
        <v>248</v>
      </c>
      <c r="C30" s="5" t="s">
        <v>249</v>
      </c>
      <c r="D30" s="5" t="s">
        <v>249</v>
      </c>
      <c r="E30" s="5" t="s">
        <v>250</v>
      </c>
      <c r="F30" s="5"/>
      <c r="G30" s="5" t="s">
        <v>166</v>
      </c>
      <c r="H30" s="5" t="s">
        <v>46</v>
      </c>
      <c r="I30" s="5" t="s">
        <v>135</v>
      </c>
      <c r="J30" s="5" t="s">
        <v>74</v>
      </c>
      <c r="K30" s="5" t="s">
        <v>75</v>
      </c>
      <c r="L30" s="5" t="s">
        <v>76</v>
      </c>
      <c r="M30" s="5"/>
      <c r="N30" s="5" t="s">
        <v>40</v>
      </c>
      <c r="O30" s="5" t="s">
        <v>251</v>
      </c>
      <c r="P30" s="5" t="s">
        <v>252</v>
      </c>
      <c r="Q30" s="5" t="s">
        <v>253</v>
      </c>
      <c r="R30" s="5" t="s">
        <v>171</v>
      </c>
      <c r="S30" s="5"/>
      <c r="T30" s="5"/>
      <c r="U30" s="5" t="s">
        <v>254</v>
      </c>
      <c r="V30" s="5" t="s">
        <v>50</v>
      </c>
      <c r="W30" s="5" t="s">
        <v>50</v>
      </c>
      <c r="X30" s="5" t="s">
        <v>51</v>
      </c>
      <c r="Y30" s="5" t="s">
        <v>173</v>
      </c>
      <c r="Z30" s="5" t="s">
        <v>174</v>
      </c>
    </row>
    <row r="31" customFormat="false" ht="15" hidden="false" customHeight="false" outlineLevel="0" collapsed="false">
      <c r="A31" s="3" t="s">
        <v>255</v>
      </c>
      <c r="B31" s="3" t="s">
        <v>256</v>
      </c>
      <c r="C31" s="3" t="s">
        <v>257</v>
      </c>
      <c r="D31" s="3" t="s">
        <v>257</v>
      </c>
      <c r="E31" s="3" t="s">
        <v>147</v>
      </c>
      <c r="F31" s="3" t="s">
        <v>83</v>
      </c>
      <c r="G31" s="3" t="s">
        <v>83</v>
      </c>
      <c r="H31" s="3" t="s">
        <v>40</v>
      </c>
      <c r="I31" s="3" t="s">
        <v>135</v>
      </c>
      <c r="J31" s="3" t="s">
        <v>87</v>
      </c>
      <c r="K31" s="3" t="s">
        <v>75</v>
      </c>
      <c r="L31" s="3" t="s">
        <v>76</v>
      </c>
      <c r="M31" s="3" t="s">
        <v>90</v>
      </c>
      <c r="N31" s="3" t="s">
        <v>40</v>
      </c>
      <c r="O31" s="3" t="s">
        <v>258</v>
      </c>
      <c r="P31" s="3" t="s">
        <v>259</v>
      </c>
      <c r="Q31" s="3"/>
      <c r="R31" s="3" t="s">
        <v>93</v>
      </c>
      <c r="S31" s="3"/>
      <c r="T31" s="3"/>
      <c r="U31" s="3"/>
      <c r="V31" s="3" t="s">
        <v>50</v>
      </c>
      <c r="W31" s="3" t="s">
        <v>50</v>
      </c>
      <c r="X31" s="3" t="s">
        <v>51</v>
      </c>
      <c r="Y31" s="3" t="s">
        <v>52</v>
      </c>
      <c r="Z31" s="3" t="s">
        <v>53</v>
      </c>
    </row>
    <row r="32" customFormat="false" ht="15" hidden="false" customHeight="false" outlineLevel="0" collapsed="false">
      <c r="A32" s="3" t="s">
        <v>260</v>
      </c>
      <c r="B32" s="3" t="s">
        <v>261</v>
      </c>
      <c r="C32" s="3" t="s">
        <v>262</v>
      </c>
      <c r="D32" s="3" t="s">
        <v>262</v>
      </c>
      <c r="E32" s="3" t="s">
        <v>263</v>
      </c>
      <c r="F32" s="3" t="s">
        <v>83</v>
      </c>
      <c r="G32" s="3" t="s">
        <v>83</v>
      </c>
      <c r="H32" s="3" t="s">
        <v>40</v>
      </c>
      <c r="I32" s="3" t="s">
        <v>135</v>
      </c>
      <c r="J32" s="3" t="s">
        <v>87</v>
      </c>
      <c r="K32" s="3" t="s">
        <v>75</v>
      </c>
      <c r="L32" s="3" t="s">
        <v>76</v>
      </c>
      <c r="M32" s="3" t="s">
        <v>90</v>
      </c>
      <c r="N32" s="3" t="s">
        <v>40</v>
      </c>
      <c r="O32" s="3" t="s">
        <v>264</v>
      </c>
      <c r="P32" s="3" t="s">
        <v>265</v>
      </c>
      <c r="Q32" s="3"/>
      <c r="R32" s="3" t="s">
        <v>93</v>
      </c>
      <c r="S32" s="3"/>
      <c r="T32" s="3"/>
      <c r="U32" s="3"/>
      <c r="V32" s="3" t="s">
        <v>50</v>
      </c>
      <c r="W32" s="3" t="s">
        <v>50</v>
      </c>
      <c r="X32" s="3" t="s">
        <v>51</v>
      </c>
      <c r="Y32" s="3" t="s">
        <v>52</v>
      </c>
      <c r="Z32" s="3" t="s">
        <v>53</v>
      </c>
    </row>
    <row r="33" customFormat="false" ht="15" hidden="false" customHeight="false" outlineLevel="0" collapsed="false">
      <c r="A33" s="5" t="s">
        <v>266</v>
      </c>
      <c r="B33" s="5" t="s">
        <v>267</v>
      </c>
      <c r="C33" s="5" t="s">
        <v>268</v>
      </c>
      <c r="D33" s="5" t="s">
        <v>268</v>
      </c>
      <c r="E33" s="5" t="s">
        <v>269</v>
      </c>
      <c r="F33" s="5"/>
      <c r="G33" s="5" t="s">
        <v>166</v>
      </c>
      <c r="H33" s="5" t="s">
        <v>46</v>
      </c>
      <c r="I33" s="5" t="s">
        <v>135</v>
      </c>
      <c r="J33" s="5" t="s">
        <v>87</v>
      </c>
      <c r="K33" s="5" t="s">
        <v>75</v>
      </c>
      <c r="L33" s="5" t="s">
        <v>76</v>
      </c>
      <c r="M33" s="5" t="s">
        <v>90</v>
      </c>
      <c r="N33" s="5" t="s">
        <v>40</v>
      </c>
      <c r="O33" s="5" t="s">
        <v>270</v>
      </c>
      <c r="P33" s="5" t="s">
        <v>271</v>
      </c>
      <c r="Q33" s="5" t="s">
        <v>87</v>
      </c>
      <c r="R33" s="5" t="s">
        <v>171</v>
      </c>
      <c r="S33" s="5"/>
      <c r="T33" s="5"/>
      <c r="U33" s="5" t="s">
        <v>272</v>
      </c>
      <c r="V33" s="5" t="s">
        <v>50</v>
      </c>
      <c r="W33" s="5" t="s">
        <v>50</v>
      </c>
      <c r="X33" s="5" t="s">
        <v>51</v>
      </c>
      <c r="Y33" s="5" t="s">
        <v>173</v>
      </c>
      <c r="Z33" s="5" t="s">
        <v>174</v>
      </c>
    </row>
    <row r="34" customFormat="false" ht="15" hidden="false" customHeight="false" outlineLevel="0" collapsed="false">
      <c r="A34" s="6" t="s">
        <v>273</v>
      </c>
      <c r="B34" s="6" t="s">
        <v>274</v>
      </c>
      <c r="C34" s="6" t="s">
        <v>275</v>
      </c>
      <c r="D34" s="6" t="s">
        <v>275</v>
      </c>
      <c r="E34" s="6" t="s">
        <v>275</v>
      </c>
      <c r="F34" s="6"/>
      <c r="G34" s="6" t="s">
        <v>188</v>
      </c>
      <c r="H34" s="6" t="s">
        <v>187</v>
      </c>
      <c r="I34" s="6" t="s">
        <v>135</v>
      </c>
      <c r="J34" s="6" t="s">
        <v>87</v>
      </c>
      <c r="K34" s="6" t="s">
        <v>75</v>
      </c>
      <c r="L34" s="6" t="s">
        <v>76</v>
      </c>
      <c r="M34" s="6" t="s">
        <v>90</v>
      </c>
      <c r="N34" s="6" t="s">
        <v>40</v>
      </c>
      <c r="O34" s="6" t="s">
        <v>276</v>
      </c>
      <c r="P34" s="6" t="s">
        <v>277</v>
      </c>
      <c r="Q34" s="6" t="s">
        <v>170</v>
      </c>
      <c r="R34" s="6" t="s">
        <v>192</v>
      </c>
      <c r="S34" s="6"/>
      <c r="T34" s="6"/>
      <c r="U34" s="6" t="s">
        <v>275</v>
      </c>
      <c r="V34" s="6" t="s">
        <v>50</v>
      </c>
      <c r="W34" s="6" t="s">
        <v>50</v>
      </c>
      <c r="X34" s="6" t="s">
        <v>51</v>
      </c>
      <c r="Y34" s="6" t="s">
        <v>173</v>
      </c>
      <c r="Z34" s="6" t="s">
        <v>194</v>
      </c>
    </row>
    <row r="35" customFormat="false" ht="15" hidden="false" customHeight="false" outlineLevel="0" collapsed="false">
      <c r="A35" s="5" t="s">
        <v>278</v>
      </c>
      <c r="B35" s="5" t="s">
        <v>279</v>
      </c>
      <c r="C35" s="5" t="s">
        <v>280</v>
      </c>
      <c r="D35" s="5" t="s">
        <v>280</v>
      </c>
      <c r="E35" s="5" t="s">
        <v>165</v>
      </c>
      <c r="F35" s="5"/>
      <c r="G35" s="5" t="s">
        <v>166</v>
      </c>
      <c r="H35" s="5" t="s">
        <v>46</v>
      </c>
      <c r="I35" s="5" t="s">
        <v>135</v>
      </c>
      <c r="J35" s="5" t="s">
        <v>87</v>
      </c>
      <c r="K35" s="5" t="s">
        <v>75</v>
      </c>
      <c r="L35" s="5" t="s">
        <v>76</v>
      </c>
      <c r="M35" s="5" t="s">
        <v>90</v>
      </c>
      <c r="N35" s="5" t="s">
        <v>40</v>
      </c>
      <c r="O35" s="5" t="s">
        <v>281</v>
      </c>
      <c r="P35" s="5" t="s">
        <v>282</v>
      </c>
      <c r="Q35" s="5" t="s">
        <v>170</v>
      </c>
      <c r="R35" s="5" t="s">
        <v>171</v>
      </c>
      <c r="S35" s="5"/>
      <c r="T35" s="5"/>
      <c r="U35" s="5" t="s">
        <v>283</v>
      </c>
      <c r="V35" s="5" t="s">
        <v>50</v>
      </c>
      <c r="W35" s="5" t="s">
        <v>50</v>
      </c>
      <c r="X35" s="5" t="s">
        <v>51</v>
      </c>
      <c r="Y35" s="5" t="s">
        <v>173</v>
      </c>
      <c r="Z35" s="5" t="s">
        <v>174</v>
      </c>
    </row>
    <row r="36" customFormat="false" ht="15" hidden="false" customHeight="false" outlineLevel="0" collapsed="false">
      <c r="A36" s="6" t="s">
        <v>284</v>
      </c>
      <c r="B36" s="6" t="s">
        <v>285</v>
      </c>
      <c r="C36" s="6" t="s">
        <v>286</v>
      </c>
      <c r="D36" s="6" t="s">
        <v>286</v>
      </c>
      <c r="E36" s="6" t="s">
        <v>165</v>
      </c>
      <c r="F36" s="6"/>
      <c r="G36" s="6" t="s">
        <v>188</v>
      </c>
      <c r="H36" s="6" t="s">
        <v>187</v>
      </c>
      <c r="I36" s="6" t="s">
        <v>135</v>
      </c>
      <c r="J36" s="6" t="s">
        <v>287</v>
      </c>
      <c r="K36" s="6" t="s">
        <v>179</v>
      </c>
      <c r="L36" s="6" t="s">
        <v>180</v>
      </c>
      <c r="M36" s="6"/>
      <c r="N36" s="6" t="s">
        <v>40</v>
      </c>
      <c r="O36" s="6" t="s">
        <v>288</v>
      </c>
      <c r="P36" s="6" t="s">
        <v>289</v>
      </c>
      <c r="Q36" s="6" t="s">
        <v>290</v>
      </c>
      <c r="R36" s="6" t="s">
        <v>192</v>
      </c>
      <c r="S36" s="6"/>
      <c r="T36" s="6"/>
      <c r="U36" s="6" t="s">
        <v>291</v>
      </c>
      <c r="V36" s="6" t="s">
        <v>50</v>
      </c>
      <c r="W36" s="6" t="s">
        <v>50</v>
      </c>
      <c r="X36" s="6" t="s">
        <v>51</v>
      </c>
      <c r="Y36" s="6" t="s">
        <v>173</v>
      </c>
      <c r="Z36" s="6" t="s">
        <v>194</v>
      </c>
    </row>
    <row r="37" customFormat="false" ht="15" hidden="false" customHeight="false" outlineLevel="0" collapsed="false">
      <c r="A37" s="6" t="s">
        <v>292</v>
      </c>
      <c r="B37" s="6" t="s">
        <v>293</v>
      </c>
      <c r="C37" s="6" t="s">
        <v>294</v>
      </c>
      <c r="D37" s="6" t="s">
        <v>294</v>
      </c>
      <c r="E37" s="6" t="s">
        <v>295</v>
      </c>
      <c r="F37" s="6"/>
      <c r="G37" s="6" t="s">
        <v>188</v>
      </c>
      <c r="H37" s="6" t="s">
        <v>187</v>
      </c>
      <c r="I37" s="6" t="s">
        <v>135</v>
      </c>
      <c r="J37" s="6" t="s">
        <v>294</v>
      </c>
      <c r="K37" s="6" t="s">
        <v>43</v>
      </c>
      <c r="L37" s="6" t="s">
        <v>296</v>
      </c>
      <c r="M37" s="6"/>
      <c r="N37" s="6" t="s">
        <v>46</v>
      </c>
      <c r="O37" s="6" t="s">
        <v>297</v>
      </c>
      <c r="P37" s="6" t="s">
        <v>298</v>
      </c>
      <c r="Q37" s="6" t="s">
        <v>170</v>
      </c>
      <c r="R37" s="6" t="s">
        <v>192</v>
      </c>
      <c r="S37" s="6"/>
      <c r="T37" s="6"/>
      <c r="U37" s="6" t="s">
        <v>299</v>
      </c>
      <c r="V37" s="6" t="s">
        <v>50</v>
      </c>
      <c r="W37" s="6" t="s">
        <v>50</v>
      </c>
      <c r="X37" s="6" t="s">
        <v>51</v>
      </c>
      <c r="Y37" s="6" t="s">
        <v>173</v>
      </c>
      <c r="Z37" s="6" t="s">
        <v>194</v>
      </c>
    </row>
    <row r="38" customFormat="false" ht="15" hidden="false" customHeight="false" outlineLevel="0" collapsed="false">
      <c r="A38" s="5" t="s">
        <v>300</v>
      </c>
      <c r="B38" s="5" t="s">
        <v>301</v>
      </c>
      <c r="C38" s="5" t="s">
        <v>302</v>
      </c>
      <c r="D38" s="5" t="s">
        <v>302</v>
      </c>
      <c r="E38" s="5" t="s">
        <v>303</v>
      </c>
      <c r="F38" s="5"/>
      <c r="G38" s="5" t="s">
        <v>166</v>
      </c>
      <c r="H38" s="5" t="s">
        <v>46</v>
      </c>
      <c r="I38" s="5" t="s">
        <v>135</v>
      </c>
      <c r="J38" s="5" t="s">
        <v>294</v>
      </c>
      <c r="K38" s="5" t="s">
        <v>43</v>
      </c>
      <c r="L38" s="5" t="s">
        <v>296</v>
      </c>
      <c r="M38" s="5"/>
      <c r="N38" s="5" t="s">
        <v>46</v>
      </c>
      <c r="O38" s="5" t="s">
        <v>304</v>
      </c>
      <c r="P38" s="5" t="s">
        <v>305</v>
      </c>
      <c r="Q38" s="5" t="s">
        <v>306</v>
      </c>
      <c r="R38" s="5" t="s">
        <v>307</v>
      </c>
      <c r="S38" s="5"/>
      <c r="T38" s="5"/>
      <c r="U38" s="5" t="s">
        <v>308</v>
      </c>
      <c r="V38" s="5" t="s">
        <v>50</v>
      </c>
      <c r="W38" s="5" t="s">
        <v>50</v>
      </c>
      <c r="X38" s="5" t="s">
        <v>51</v>
      </c>
      <c r="Y38" s="5" t="s">
        <v>173</v>
      </c>
      <c r="Z38" s="5" t="s">
        <v>174</v>
      </c>
    </row>
    <row r="39" customFormat="false" ht="15" hidden="false" customHeight="false" outlineLevel="0" collapsed="false">
      <c r="A39" s="6" t="s">
        <v>309</v>
      </c>
      <c r="B39" s="6" t="s">
        <v>310</v>
      </c>
      <c r="C39" s="6" t="s">
        <v>311</v>
      </c>
      <c r="D39" s="6" t="s">
        <v>311</v>
      </c>
      <c r="E39" s="6" t="s">
        <v>165</v>
      </c>
      <c r="F39" s="6"/>
      <c r="G39" s="6" t="s">
        <v>188</v>
      </c>
      <c r="H39" s="6" t="s">
        <v>187</v>
      </c>
      <c r="I39" s="6" t="s">
        <v>135</v>
      </c>
      <c r="J39" s="6" t="s">
        <v>58</v>
      </c>
      <c r="K39" s="6" t="s">
        <v>43</v>
      </c>
      <c r="L39" s="6" t="s">
        <v>59</v>
      </c>
      <c r="M39" s="6" t="s">
        <v>60</v>
      </c>
      <c r="N39" s="6" t="s">
        <v>46</v>
      </c>
      <c r="O39" s="6" t="s">
        <v>312</v>
      </c>
      <c r="P39" s="6" t="s">
        <v>313</v>
      </c>
      <c r="Q39" s="6" t="s">
        <v>170</v>
      </c>
      <c r="R39" s="6" t="s">
        <v>63</v>
      </c>
      <c r="S39" s="6"/>
      <c r="T39" s="6"/>
      <c r="U39" s="6" t="s">
        <v>314</v>
      </c>
      <c r="V39" s="6" t="s">
        <v>50</v>
      </c>
      <c r="W39" s="6" t="s">
        <v>50</v>
      </c>
      <c r="X39" s="6" t="s">
        <v>51</v>
      </c>
      <c r="Y39" s="6" t="s">
        <v>173</v>
      </c>
      <c r="Z39" s="6" t="s">
        <v>194</v>
      </c>
    </row>
    <row r="40" customFormat="false" ht="15" hidden="false" customHeight="false" outlineLevel="0" collapsed="false">
      <c r="A40" s="3" t="s">
        <v>315</v>
      </c>
      <c r="B40" s="3" t="s">
        <v>316</v>
      </c>
      <c r="C40" s="3" t="s">
        <v>317</v>
      </c>
      <c r="D40" s="3" t="s">
        <v>317</v>
      </c>
      <c r="E40" s="3" t="s">
        <v>318</v>
      </c>
      <c r="F40" s="3" t="s">
        <v>210</v>
      </c>
      <c r="G40" s="3" t="s">
        <v>210</v>
      </c>
      <c r="H40" s="3" t="s">
        <v>40</v>
      </c>
      <c r="I40" s="3" t="s">
        <v>135</v>
      </c>
      <c r="J40" s="3" t="s">
        <v>95</v>
      </c>
      <c r="K40" s="3" t="s">
        <v>43</v>
      </c>
      <c r="L40" s="3" t="s">
        <v>98</v>
      </c>
      <c r="M40" s="3" t="s">
        <v>99</v>
      </c>
      <c r="N40" s="3" t="s">
        <v>46</v>
      </c>
      <c r="O40" s="3" t="s">
        <v>319</v>
      </c>
      <c r="P40" s="3" t="s">
        <v>320</v>
      </c>
      <c r="Q40" s="3"/>
      <c r="R40" s="3" t="s">
        <v>102</v>
      </c>
      <c r="S40" s="3"/>
      <c r="T40" s="3"/>
      <c r="U40" s="3"/>
      <c r="V40" s="3" t="s">
        <v>50</v>
      </c>
      <c r="W40" s="3" t="s">
        <v>50</v>
      </c>
      <c r="X40" s="3" t="s">
        <v>51</v>
      </c>
      <c r="Y40" s="3" t="s">
        <v>52</v>
      </c>
      <c r="Z40" s="3" t="s">
        <v>53</v>
      </c>
    </row>
    <row r="41" customFormat="false" ht="15" hidden="false" customHeight="false" outlineLevel="0" collapsed="false">
      <c r="A41" s="3" t="s">
        <v>321</v>
      </c>
      <c r="B41" s="3" t="s">
        <v>322</v>
      </c>
      <c r="C41" s="3" t="s">
        <v>323</v>
      </c>
      <c r="D41" s="3" t="s">
        <v>323</v>
      </c>
      <c r="E41" s="3" t="s">
        <v>324</v>
      </c>
      <c r="F41" s="3" t="s">
        <v>83</v>
      </c>
      <c r="G41" s="3" t="s">
        <v>83</v>
      </c>
      <c r="H41" s="3" t="s">
        <v>40</v>
      </c>
      <c r="I41" s="3" t="s">
        <v>135</v>
      </c>
      <c r="J41" s="3" t="s">
        <v>95</v>
      </c>
      <c r="K41" s="3" t="s">
        <v>43</v>
      </c>
      <c r="L41" s="3" t="s">
        <v>98</v>
      </c>
      <c r="M41" s="3" t="s">
        <v>99</v>
      </c>
      <c r="N41" s="3" t="s">
        <v>46</v>
      </c>
      <c r="O41" s="3" t="s">
        <v>325</v>
      </c>
      <c r="P41" s="3" t="s">
        <v>326</v>
      </c>
      <c r="Q41" s="3"/>
      <c r="R41" s="3" t="s">
        <v>102</v>
      </c>
      <c r="S41" s="3"/>
      <c r="T41" s="3"/>
      <c r="U41" s="3"/>
      <c r="V41" s="3" t="s">
        <v>50</v>
      </c>
      <c r="W41" s="3" t="s">
        <v>50</v>
      </c>
      <c r="X41" s="3" t="s">
        <v>51</v>
      </c>
      <c r="Y41" s="3" t="s">
        <v>52</v>
      </c>
      <c r="Z41" s="3" t="s">
        <v>53</v>
      </c>
    </row>
    <row r="42" customFormat="false" ht="15" hidden="false" customHeight="false" outlineLevel="0" collapsed="false">
      <c r="A42" s="5" t="s">
        <v>327</v>
      </c>
      <c r="B42" s="5" t="s">
        <v>328</v>
      </c>
      <c r="C42" s="5" t="s">
        <v>329</v>
      </c>
      <c r="D42" s="5" t="s">
        <v>329</v>
      </c>
      <c r="E42" s="5" t="s">
        <v>330</v>
      </c>
      <c r="F42" s="5"/>
      <c r="G42" s="5" t="s">
        <v>166</v>
      </c>
      <c r="H42" s="5" t="s">
        <v>46</v>
      </c>
      <c r="I42" s="5" t="s">
        <v>135</v>
      </c>
      <c r="J42" s="5" t="s">
        <v>95</v>
      </c>
      <c r="K42" s="5" t="s">
        <v>43</v>
      </c>
      <c r="L42" s="5" t="s">
        <v>98</v>
      </c>
      <c r="M42" s="5" t="s">
        <v>99</v>
      </c>
      <c r="N42" s="5" t="s">
        <v>46</v>
      </c>
      <c r="O42" s="5" t="s">
        <v>331</v>
      </c>
      <c r="P42" s="5" t="s">
        <v>332</v>
      </c>
      <c r="Q42" s="5" t="s">
        <v>333</v>
      </c>
      <c r="R42" s="5" t="s">
        <v>307</v>
      </c>
      <c r="S42" s="5"/>
      <c r="T42" s="5"/>
      <c r="U42" s="5" t="s">
        <v>334</v>
      </c>
      <c r="V42" s="5" t="s">
        <v>50</v>
      </c>
      <c r="W42" s="5" t="s">
        <v>50</v>
      </c>
      <c r="X42" s="5" t="s">
        <v>51</v>
      </c>
      <c r="Y42" s="5" t="s">
        <v>173</v>
      </c>
      <c r="Z42" s="5" t="s">
        <v>174</v>
      </c>
    </row>
    <row r="43" customFormat="false" ht="15" hidden="false" customHeight="false" outlineLevel="0" collapsed="false">
      <c r="A43" s="3" t="s">
        <v>335</v>
      </c>
      <c r="B43" s="3" t="s">
        <v>336</v>
      </c>
      <c r="C43" s="3" t="s">
        <v>337</v>
      </c>
      <c r="D43" s="3" t="s">
        <v>337</v>
      </c>
      <c r="E43" s="3" t="s">
        <v>147</v>
      </c>
      <c r="F43" s="3" t="s">
        <v>83</v>
      </c>
      <c r="G43" s="3" t="s">
        <v>83</v>
      </c>
      <c r="H43" s="3" t="s">
        <v>40</v>
      </c>
      <c r="I43" s="3" t="s">
        <v>135</v>
      </c>
      <c r="J43" s="3" t="s">
        <v>42</v>
      </c>
      <c r="K43" s="3" t="s">
        <v>43</v>
      </c>
      <c r="L43" s="3" t="s">
        <v>44</v>
      </c>
      <c r="M43" s="3" t="s">
        <v>45</v>
      </c>
      <c r="N43" s="3" t="s">
        <v>46</v>
      </c>
      <c r="O43" s="3" t="s">
        <v>338</v>
      </c>
      <c r="P43" s="3" t="s">
        <v>339</v>
      </c>
      <c r="Q43" s="3"/>
      <c r="R43" s="3" t="s">
        <v>49</v>
      </c>
      <c r="S43" s="3"/>
      <c r="T43" s="3"/>
      <c r="U43" s="3"/>
      <c r="V43" s="3" t="s">
        <v>50</v>
      </c>
      <c r="W43" s="3" t="s">
        <v>50</v>
      </c>
      <c r="X43" s="3" t="s">
        <v>51</v>
      </c>
      <c r="Y43" s="3" t="s">
        <v>52</v>
      </c>
      <c r="Z43" s="3" t="s">
        <v>53</v>
      </c>
    </row>
    <row r="44" customFormat="false" ht="15" hidden="false" customHeight="false" outlineLevel="0" collapsed="false">
      <c r="A44" s="3" t="s">
        <v>340</v>
      </c>
      <c r="B44" s="3" t="s">
        <v>341</v>
      </c>
      <c r="C44" s="3" t="s">
        <v>342</v>
      </c>
      <c r="D44" s="3" t="s">
        <v>342</v>
      </c>
      <c r="E44" s="3" t="s">
        <v>343</v>
      </c>
      <c r="F44" s="3" t="s">
        <v>83</v>
      </c>
      <c r="G44" s="3" t="s">
        <v>83</v>
      </c>
      <c r="H44" s="3" t="s">
        <v>40</v>
      </c>
      <c r="I44" s="3" t="s">
        <v>135</v>
      </c>
      <c r="J44" s="3" t="s">
        <v>42</v>
      </c>
      <c r="K44" s="3" t="s">
        <v>43</v>
      </c>
      <c r="L44" s="3" t="s">
        <v>44</v>
      </c>
      <c r="M44" s="3" t="s">
        <v>45</v>
      </c>
      <c r="N44" s="3" t="s">
        <v>46</v>
      </c>
      <c r="O44" s="3" t="s">
        <v>344</v>
      </c>
      <c r="P44" s="3" t="s">
        <v>345</v>
      </c>
      <c r="Q44" s="3"/>
      <c r="R44" s="3" t="s">
        <v>49</v>
      </c>
      <c r="S44" s="3"/>
      <c r="T44" s="3"/>
      <c r="U44" s="3"/>
      <c r="V44" s="3" t="s">
        <v>50</v>
      </c>
      <c r="W44" s="3" t="s">
        <v>50</v>
      </c>
      <c r="X44" s="3" t="s">
        <v>51</v>
      </c>
      <c r="Y44" s="3" t="s">
        <v>52</v>
      </c>
      <c r="Z44" s="3" t="s">
        <v>53</v>
      </c>
    </row>
    <row r="45" customFormat="false" ht="15" hidden="false" customHeight="false" outlineLevel="0" collapsed="false">
      <c r="A45" s="3" t="s">
        <v>346</v>
      </c>
      <c r="B45" s="3" t="s">
        <v>347</v>
      </c>
      <c r="C45" s="3" t="s">
        <v>348</v>
      </c>
      <c r="D45" s="3" t="s">
        <v>348</v>
      </c>
      <c r="E45" s="3" t="s">
        <v>349</v>
      </c>
      <c r="F45" s="3" t="s">
        <v>83</v>
      </c>
      <c r="G45" s="3" t="s">
        <v>83</v>
      </c>
      <c r="H45" s="3" t="s">
        <v>40</v>
      </c>
      <c r="I45" s="3" t="s">
        <v>135</v>
      </c>
      <c r="J45" s="3" t="s">
        <v>42</v>
      </c>
      <c r="K45" s="3" t="s">
        <v>43</v>
      </c>
      <c r="L45" s="3" t="s">
        <v>44</v>
      </c>
      <c r="M45" s="3" t="s">
        <v>45</v>
      </c>
      <c r="N45" s="3" t="s">
        <v>46</v>
      </c>
      <c r="O45" s="3" t="s">
        <v>350</v>
      </c>
      <c r="P45" s="3" t="s">
        <v>351</v>
      </c>
      <c r="Q45" s="3"/>
      <c r="R45" s="3" t="s">
        <v>49</v>
      </c>
      <c r="S45" s="3"/>
      <c r="T45" s="3"/>
      <c r="U45" s="3"/>
      <c r="V45" s="3" t="s">
        <v>50</v>
      </c>
      <c r="W45" s="3" t="s">
        <v>50</v>
      </c>
      <c r="X45" s="3" t="s">
        <v>51</v>
      </c>
      <c r="Y45" s="3" t="s">
        <v>52</v>
      </c>
      <c r="Z45" s="3" t="s">
        <v>53</v>
      </c>
    </row>
    <row r="46" customFormat="false" ht="15" hidden="false" customHeight="false" outlineLevel="0" collapsed="false">
      <c r="A46" s="3" t="s">
        <v>352</v>
      </c>
      <c r="B46" s="3" t="s">
        <v>353</v>
      </c>
      <c r="C46" s="3" t="s">
        <v>354</v>
      </c>
      <c r="D46" s="3" t="s">
        <v>354</v>
      </c>
      <c r="E46" s="3" t="s">
        <v>355</v>
      </c>
      <c r="F46" s="3" t="s">
        <v>83</v>
      </c>
      <c r="G46" s="3" t="s">
        <v>83</v>
      </c>
      <c r="H46" s="3" t="s">
        <v>40</v>
      </c>
      <c r="I46" s="3" t="s">
        <v>135</v>
      </c>
      <c r="J46" s="3" t="s">
        <v>42</v>
      </c>
      <c r="K46" s="3" t="s">
        <v>43</v>
      </c>
      <c r="L46" s="3" t="s">
        <v>44</v>
      </c>
      <c r="M46" s="3" t="s">
        <v>45</v>
      </c>
      <c r="N46" s="3" t="s">
        <v>46</v>
      </c>
      <c r="O46" s="3" t="s">
        <v>356</v>
      </c>
      <c r="P46" s="3" t="s">
        <v>357</v>
      </c>
      <c r="Q46" s="3"/>
      <c r="R46" s="3" t="s">
        <v>49</v>
      </c>
      <c r="S46" s="3"/>
      <c r="T46" s="3"/>
      <c r="U46" s="3"/>
      <c r="V46" s="3" t="s">
        <v>50</v>
      </c>
      <c r="W46" s="3" t="s">
        <v>50</v>
      </c>
      <c r="X46" s="3" t="s">
        <v>51</v>
      </c>
      <c r="Y46" s="3" t="s">
        <v>52</v>
      </c>
      <c r="Z46" s="3" t="s">
        <v>53</v>
      </c>
    </row>
    <row r="47" customFormat="false" ht="15" hidden="false" customHeight="false" outlineLevel="0" collapsed="false">
      <c r="A47" s="3" t="s">
        <v>358</v>
      </c>
      <c r="B47" s="3" t="s">
        <v>359</v>
      </c>
      <c r="C47" s="3" t="s">
        <v>360</v>
      </c>
      <c r="D47" s="3" t="s">
        <v>360</v>
      </c>
      <c r="E47" s="3" t="s">
        <v>361</v>
      </c>
      <c r="F47" s="3" t="s">
        <v>83</v>
      </c>
      <c r="G47" s="3" t="s">
        <v>83</v>
      </c>
      <c r="H47" s="3" t="s">
        <v>40</v>
      </c>
      <c r="I47" s="3" t="s">
        <v>135</v>
      </c>
      <c r="J47" s="3" t="s">
        <v>42</v>
      </c>
      <c r="K47" s="3" t="s">
        <v>43</v>
      </c>
      <c r="L47" s="3" t="s">
        <v>44</v>
      </c>
      <c r="M47" s="3" t="s">
        <v>45</v>
      </c>
      <c r="N47" s="3" t="s">
        <v>46</v>
      </c>
      <c r="O47" s="3" t="s">
        <v>362</v>
      </c>
      <c r="P47" s="3" t="s">
        <v>363</v>
      </c>
      <c r="Q47" s="3"/>
      <c r="R47" s="3" t="s">
        <v>49</v>
      </c>
      <c r="S47" s="3"/>
      <c r="T47" s="3"/>
      <c r="U47" s="3"/>
      <c r="V47" s="3" t="s">
        <v>50</v>
      </c>
      <c r="W47" s="3" t="s">
        <v>50</v>
      </c>
      <c r="X47" s="3" t="s">
        <v>51</v>
      </c>
      <c r="Y47" s="3" t="s">
        <v>52</v>
      </c>
      <c r="Z47" s="3" t="s">
        <v>53</v>
      </c>
    </row>
    <row r="48" customFormat="false" ht="15" hidden="false" customHeight="false" outlineLevel="0" collapsed="false">
      <c r="A48" s="5" t="s">
        <v>364</v>
      </c>
      <c r="B48" s="5" t="s">
        <v>365</v>
      </c>
      <c r="C48" s="5" t="s">
        <v>366</v>
      </c>
      <c r="D48" s="5" t="s">
        <v>366</v>
      </c>
      <c r="E48" s="5" t="s">
        <v>165</v>
      </c>
      <c r="F48" s="5"/>
      <c r="G48" s="5" t="s">
        <v>166</v>
      </c>
      <c r="H48" s="5" t="s">
        <v>46</v>
      </c>
      <c r="I48" s="5" t="s">
        <v>135</v>
      </c>
      <c r="J48" s="5" t="s">
        <v>110</v>
      </c>
      <c r="K48" s="5" t="s">
        <v>43</v>
      </c>
      <c r="L48" s="5" t="s">
        <v>59</v>
      </c>
      <c r="M48" s="5" t="s">
        <v>111</v>
      </c>
      <c r="N48" s="5" t="s">
        <v>46</v>
      </c>
      <c r="O48" s="5" t="s">
        <v>367</v>
      </c>
      <c r="P48" s="5" t="s">
        <v>368</v>
      </c>
      <c r="Q48" s="5" t="s">
        <v>170</v>
      </c>
      <c r="R48" s="5" t="s">
        <v>307</v>
      </c>
      <c r="S48" s="5"/>
      <c r="T48" s="5"/>
      <c r="U48" s="5" t="s">
        <v>369</v>
      </c>
      <c r="V48" s="5" t="s">
        <v>50</v>
      </c>
      <c r="W48" s="5" t="s">
        <v>50</v>
      </c>
      <c r="X48" s="5" t="s">
        <v>51</v>
      </c>
      <c r="Y48" s="5" t="s">
        <v>173</v>
      </c>
      <c r="Z48" s="5" t="s">
        <v>174</v>
      </c>
    </row>
    <row r="49" customFormat="false" ht="15" hidden="false" customHeight="false" outlineLevel="0" collapsed="false">
      <c r="A49" s="5" t="s">
        <v>370</v>
      </c>
      <c r="B49" s="5" t="s">
        <v>371</v>
      </c>
      <c r="C49" s="5" t="s">
        <v>372</v>
      </c>
      <c r="D49" s="5" t="s">
        <v>372</v>
      </c>
      <c r="E49" s="5" t="s">
        <v>165</v>
      </c>
      <c r="F49" s="5"/>
      <c r="G49" s="5" t="s">
        <v>166</v>
      </c>
      <c r="H49" s="5" t="s">
        <v>46</v>
      </c>
      <c r="I49" s="5" t="s">
        <v>135</v>
      </c>
      <c r="J49" s="5" t="s">
        <v>110</v>
      </c>
      <c r="K49" s="5" t="s">
        <v>43</v>
      </c>
      <c r="L49" s="5" t="s">
        <v>59</v>
      </c>
      <c r="M49" s="5" t="s">
        <v>111</v>
      </c>
      <c r="N49" s="5" t="s">
        <v>46</v>
      </c>
      <c r="O49" s="5" t="s">
        <v>373</v>
      </c>
      <c r="P49" s="5" t="s">
        <v>374</v>
      </c>
      <c r="Q49" s="5" t="s">
        <v>170</v>
      </c>
      <c r="R49" s="5" t="s">
        <v>171</v>
      </c>
      <c r="S49" s="5"/>
      <c r="T49" s="5"/>
      <c r="U49" s="5" t="s">
        <v>375</v>
      </c>
      <c r="V49" s="5" t="s">
        <v>50</v>
      </c>
      <c r="W49" s="5" t="s">
        <v>50</v>
      </c>
      <c r="X49" s="5" t="s">
        <v>51</v>
      </c>
      <c r="Y49" s="5" t="s">
        <v>173</v>
      </c>
      <c r="Z49" s="5" t="s">
        <v>174</v>
      </c>
    </row>
    <row r="50" customFormat="false" ht="15" hidden="false" customHeight="false" outlineLevel="0" collapsed="false">
      <c r="A50" s="3" t="s">
        <v>376</v>
      </c>
      <c r="B50" s="3" t="s">
        <v>377</v>
      </c>
      <c r="C50" s="3" t="s">
        <v>378</v>
      </c>
      <c r="D50" s="3" t="s">
        <v>378</v>
      </c>
      <c r="E50" s="3" t="s">
        <v>379</v>
      </c>
      <c r="F50" s="3" t="s">
        <v>83</v>
      </c>
      <c r="G50" s="3" t="s">
        <v>83</v>
      </c>
      <c r="H50" s="3" t="s">
        <v>40</v>
      </c>
      <c r="I50" s="3" t="s">
        <v>135</v>
      </c>
      <c r="J50" s="3" t="s">
        <v>110</v>
      </c>
      <c r="K50" s="3" t="s">
        <v>43</v>
      </c>
      <c r="L50" s="3" t="s">
        <v>59</v>
      </c>
      <c r="M50" s="3" t="s">
        <v>111</v>
      </c>
      <c r="N50" s="3" t="s">
        <v>46</v>
      </c>
      <c r="O50" s="3" t="s">
        <v>380</v>
      </c>
      <c r="P50" s="3" t="s">
        <v>381</v>
      </c>
      <c r="Q50" s="3"/>
      <c r="R50" s="3" t="s">
        <v>114</v>
      </c>
      <c r="S50" s="3"/>
      <c r="T50" s="3"/>
      <c r="U50" s="3"/>
      <c r="V50" s="3" t="s">
        <v>50</v>
      </c>
      <c r="W50" s="3" t="s">
        <v>50</v>
      </c>
      <c r="X50" s="3" t="s">
        <v>51</v>
      </c>
      <c r="Y50" s="3" t="s">
        <v>52</v>
      </c>
      <c r="Z50" s="3" t="s">
        <v>53</v>
      </c>
    </row>
    <row r="51" customFormat="false" ht="15" hidden="false" customHeight="false" outlineLevel="0" collapsed="false">
      <c r="A51" s="3" t="s">
        <v>382</v>
      </c>
      <c r="B51" s="3" t="s">
        <v>383</v>
      </c>
      <c r="C51" s="3" t="s">
        <v>384</v>
      </c>
      <c r="D51" s="3" t="s">
        <v>384</v>
      </c>
      <c r="E51" s="3" t="s">
        <v>385</v>
      </c>
      <c r="F51" s="3" t="s">
        <v>386</v>
      </c>
      <c r="G51" s="3" t="s">
        <v>386</v>
      </c>
      <c r="H51" s="3" t="s">
        <v>40</v>
      </c>
      <c r="I51" s="3" t="s">
        <v>135</v>
      </c>
      <c r="J51" s="3" t="s">
        <v>110</v>
      </c>
      <c r="K51" s="3" t="s">
        <v>43</v>
      </c>
      <c r="L51" s="3" t="s">
        <v>59</v>
      </c>
      <c r="M51" s="3" t="s">
        <v>111</v>
      </c>
      <c r="N51" s="3" t="s">
        <v>46</v>
      </c>
      <c r="O51" s="3" t="s">
        <v>387</v>
      </c>
      <c r="P51" s="3" t="s">
        <v>388</v>
      </c>
      <c r="Q51" s="3"/>
      <c r="R51" s="3" t="s">
        <v>114</v>
      </c>
      <c r="S51" s="3"/>
      <c r="T51" s="3"/>
      <c r="U51" s="3"/>
      <c r="V51" s="3" t="s">
        <v>50</v>
      </c>
      <c r="W51" s="3" t="s">
        <v>50</v>
      </c>
      <c r="X51" s="3" t="s">
        <v>51</v>
      </c>
      <c r="Y51" s="3" t="s">
        <v>52</v>
      </c>
      <c r="Z51" s="3" t="s">
        <v>53</v>
      </c>
    </row>
    <row r="52" customFormat="false" ht="15" hidden="false" customHeight="false" outlineLevel="0" collapsed="false">
      <c r="A52" s="3" t="s">
        <v>389</v>
      </c>
      <c r="B52" s="3" t="s">
        <v>390</v>
      </c>
      <c r="C52" s="3" t="s">
        <v>391</v>
      </c>
      <c r="D52" s="3" t="s">
        <v>391</v>
      </c>
      <c r="E52" s="3" t="s">
        <v>165</v>
      </c>
      <c r="F52" s="3" t="s">
        <v>57</v>
      </c>
      <c r="G52" s="3" t="s">
        <v>57</v>
      </c>
      <c r="H52" s="3" t="s">
        <v>40</v>
      </c>
      <c r="I52" s="3" t="s">
        <v>135</v>
      </c>
      <c r="J52" s="3" t="s">
        <v>110</v>
      </c>
      <c r="K52" s="3" t="s">
        <v>43</v>
      </c>
      <c r="L52" s="3" t="s">
        <v>59</v>
      </c>
      <c r="M52" s="3" t="s">
        <v>111</v>
      </c>
      <c r="N52" s="3" t="s">
        <v>46</v>
      </c>
      <c r="O52" s="3" t="s">
        <v>392</v>
      </c>
      <c r="P52" s="3" t="s">
        <v>393</v>
      </c>
      <c r="Q52" s="3"/>
      <c r="R52" s="3" t="s">
        <v>114</v>
      </c>
      <c r="S52" s="3"/>
      <c r="T52" s="3"/>
      <c r="U52" s="3"/>
      <c r="V52" s="3" t="s">
        <v>50</v>
      </c>
      <c r="W52" s="3" t="s">
        <v>50</v>
      </c>
      <c r="X52" s="3" t="s">
        <v>51</v>
      </c>
      <c r="Y52" s="3" t="s">
        <v>52</v>
      </c>
      <c r="Z52" s="3" t="s">
        <v>53</v>
      </c>
    </row>
    <row r="53" customFormat="false" ht="15" hidden="false" customHeight="false" outlineLevel="0" collapsed="false">
      <c r="A53" s="3" t="s">
        <v>394</v>
      </c>
      <c r="B53" s="3" t="s">
        <v>395</v>
      </c>
      <c r="C53" s="3" t="s">
        <v>396</v>
      </c>
      <c r="D53" s="3" t="s">
        <v>396</v>
      </c>
      <c r="E53" s="3" t="s">
        <v>397</v>
      </c>
      <c r="F53" s="3" t="s">
        <v>83</v>
      </c>
      <c r="G53" s="3" t="s">
        <v>83</v>
      </c>
      <c r="H53" s="3" t="s">
        <v>40</v>
      </c>
      <c r="I53" s="3" t="s">
        <v>135</v>
      </c>
      <c r="J53" s="3" t="s">
        <v>42</v>
      </c>
      <c r="K53" s="3" t="s">
        <v>43</v>
      </c>
      <c r="L53" s="3" t="s">
        <v>44</v>
      </c>
      <c r="M53" s="3" t="s">
        <v>45</v>
      </c>
      <c r="N53" s="3" t="s">
        <v>46</v>
      </c>
      <c r="O53" s="3" t="s">
        <v>398</v>
      </c>
      <c r="P53" s="3" t="s">
        <v>399</v>
      </c>
      <c r="Q53" s="3"/>
      <c r="R53" s="3" t="s">
        <v>49</v>
      </c>
      <c r="S53" s="3"/>
      <c r="T53" s="3"/>
      <c r="U53" s="3"/>
      <c r="V53" s="3" t="s">
        <v>50</v>
      </c>
      <c r="W53" s="3" t="s">
        <v>50</v>
      </c>
      <c r="X53" s="3" t="s">
        <v>51</v>
      </c>
      <c r="Y53" s="3" t="s">
        <v>52</v>
      </c>
      <c r="Z53" s="3" t="s">
        <v>53</v>
      </c>
    </row>
    <row r="54" customFormat="false" ht="15" hidden="false" customHeight="false" outlineLevel="0" collapsed="false">
      <c r="A54" s="3" t="s">
        <v>400</v>
      </c>
      <c r="B54" s="3" t="s">
        <v>401</v>
      </c>
      <c r="C54" s="3" t="s">
        <v>402</v>
      </c>
      <c r="D54" s="3" t="s">
        <v>402</v>
      </c>
      <c r="E54" s="3" t="s">
        <v>403</v>
      </c>
      <c r="F54" s="3" t="s">
        <v>57</v>
      </c>
      <c r="G54" s="3" t="s">
        <v>57</v>
      </c>
      <c r="H54" s="3" t="s">
        <v>40</v>
      </c>
      <c r="I54" s="3" t="s">
        <v>135</v>
      </c>
      <c r="J54" s="3" t="s">
        <v>42</v>
      </c>
      <c r="K54" s="3" t="s">
        <v>43</v>
      </c>
      <c r="L54" s="3" t="s">
        <v>44</v>
      </c>
      <c r="M54" s="3" t="s">
        <v>45</v>
      </c>
      <c r="N54" s="3" t="s">
        <v>46</v>
      </c>
      <c r="O54" s="3" t="s">
        <v>404</v>
      </c>
      <c r="P54" s="3" t="s">
        <v>405</v>
      </c>
      <c r="Q54" s="3"/>
      <c r="R54" s="3" t="s">
        <v>49</v>
      </c>
      <c r="S54" s="3"/>
      <c r="T54" s="3"/>
      <c r="U54" s="3"/>
      <c r="V54" s="3" t="s">
        <v>50</v>
      </c>
      <c r="W54" s="3" t="s">
        <v>50</v>
      </c>
      <c r="X54" s="3" t="s">
        <v>51</v>
      </c>
      <c r="Y54" s="3" t="s">
        <v>52</v>
      </c>
      <c r="Z54" s="3" t="s">
        <v>53</v>
      </c>
    </row>
    <row r="55" customFormat="false" ht="15" hidden="false" customHeight="false" outlineLevel="0" collapsed="false">
      <c r="A55" s="6" t="s">
        <v>406</v>
      </c>
      <c r="B55" s="6" t="s">
        <v>407</v>
      </c>
      <c r="C55" s="6" t="s">
        <v>408</v>
      </c>
      <c r="D55" s="6" t="s">
        <v>408</v>
      </c>
      <c r="E55" s="6" t="s">
        <v>409</v>
      </c>
      <c r="F55" s="6"/>
      <c r="G55" s="6" t="s">
        <v>188</v>
      </c>
      <c r="H55" s="6" t="s">
        <v>187</v>
      </c>
      <c r="I55" s="6" t="s">
        <v>135</v>
      </c>
      <c r="J55" s="6" t="s">
        <v>294</v>
      </c>
      <c r="K55" s="6" t="s">
        <v>43</v>
      </c>
      <c r="L55" s="6" t="s">
        <v>296</v>
      </c>
      <c r="M55" s="6"/>
      <c r="N55" s="6" t="s">
        <v>46</v>
      </c>
      <c r="O55" s="6" t="s">
        <v>410</v>
      </c>
      <c r="P55" s="6" t="s">
        <v>411</v>
      </c>
      <c r="Q55" s="6" t="s">
        <v>333</v>
      </c>
      <c r="R55" s="6" t="s">
        <v>412</v>
      </c>
      <c r="S55" s="6"/>
      <c r="T55" s="6"/>
      <c r="U55" s="6" t="s">
        <v>413</v>
      </c>
      <c r="V55" s="6" t="s">
        <v>50</v>
      </c>
      <c r="W55" s="6" t="s">
        <v>50</v>
      </c>
      <c r="X55" s="6" t="s">
        <v>51</v>
      </c>
      <c r="Y55" s="6" t="s">
        <v>173</v>
      </c>
      <c r="Z55" s="6" t="s">
        <v>194</v>
      </c>
    </row>
    <row r="56" customFormat="false" ht="15" hidden="false" customHeight="false" outlineLevel="0" collapsed="false">
      <c r="A56" s="6" t="s">
        <v>414</v>
      </c>
      <c r="B56" s="6" t="s">
        <v>415</v>
      </c>
      <c r="C56" s="6" t="s">
        <v>416</v>
      </c>
      <c r="D56" s="6" t="s">
        <v>416</v>
      </c>
      <c r="E56" s="6" t="s">
        <v>236</v>
      </c>
      <c r="F56" s="6"/>
      <c r="G56" s="6" t="s">
        <v>188</v>
      </c>
      <c r="H56" s="6" t="s">
        <v>187</v>
      </c>
      <c r="I56" s="6" t="s">
        <v>135</v>
      </c>
      <c r="J56" s="6" t="s">
        <v>417</v>
      </c>
      <c r="K56" s="6" t="s">
        <v>43</v>
      </c>
      <c r="L56" s="6" t="s">
        <v>59</v>
      </c>
      <c r="M56" s="6" t="s">
        <v>418</v>
      </c>
      <c r="N56" s="6" t="s">
        <v>46</v>
      </c>
      <c r="O56" s="6" t="s">
        <v>419</v>
      </c>
      <c r="P56" s="6" t="s">
        <v>420</v>
      </c>
      <c r="Q56" s="6" t="s">
        <v>421</v>
      </c>
      <c r="R56" s="6" t="s">
        <v>422</v>
      </c>
      <c r="S56" s="6"/>
      <c r="T56" s="6"/>
      <c r="U56" s="6" t="s">
        <v>423</v>
      </c>
      <c r="V56" s="6" t="s">
        <v>50</v>
      </c>
      <c r="W56" s="6" t="s">
        <v>50</v>
      </c>
      <c r="X56" s="6" t="s">
        <v>51</v>
      </c>
      <c r="Y56" s="6" t="s">
        <v>173</v>
      </c>
      <c r="Z56" s="6" t="s">
        <v>194</v>
      </c>
    </row>
    <row r="57" customFormat="false" ht="15" hidden="false" customHeight="false" outlineLevel="0" collapsed="false">
      <c r="A57" s="3" t="s">
        <v>424</v>
      </c>
      <c r="B57" s="3" t="s">
        <v>425</v>
      </c>
      <c r="C57" s="3" t="s">
        <v>426</v>
      </c>
      <c r="D57" s="3" t="s">
        <v>426</v>
      </c>
      <c r="E57" s="3" t="s">
        <v>427</v>
      </c>
      <c r="F57" s="3" t="s">
        <v>57</v>
      </c>
      <c r="G57" s="3" t="s">
        <v>57</v>
      </c>
      <c r="H57" s="3" t="s">
        <v>40</v>
      </c>
      <c r="I57" s="3" t="s">
        <v>135</v>
      </c>
      <c r="J57" s="3" t="s">
        <v>122</v>
      </c>
      <c r="K57" s="3" t="s">
        <v>75</v>
      </c>
      <c r="L57" s="3" t="s">
        <v>76</v>
      </c>
      <c r="M57" s="3"/>
      <c r="N57" s="3" t="s">
        <v>40</v>
      </c>
      <c r="O57" s="3" t="s">
        <v>428</v>
      </c>
      <c r="P57" s="3" t="s">
        <v>429</v>
      </c>
      <c r="Q57" s="3"/>
      <c r="R57" s="3" t="s">
        <v>126</v>
      </c>
      <c r="S57" s="3"/>
      <c r="T57" s="3"/>
      <c r="U57" s="3"/>
      <c r="V57" s="3" t="s">
        <v>50</v>
      </c>
      <c r="W57" s="3" t="s">
        <v>50</v>
      </c>
      <c r="X57" s="3" t="s">
        <v>51</v>
      </c>
      <c r="Y57" s="3" t="s">
        <v>52</v>
      </c>
      <c r="Z57" s="3" t="s">
        <v>53</v>
      </c>
    </row>
    <row r="58" customFormat="false" ht="15" hidden="false" customHeight="false" outlineLevel="0" collapsed="false">
      <c r="A58" s="3" t="s">
        <v>430</v>
      </c>
      <c r="B58" s="3" t="s">
        <v>431</v>
      </c>
      <c r="C58" s="3" t="s">
        <v>432</v>
      </c>
      <c r="D58" s="3" t="s">
        <v>432</v>
      </c>
      <c r="E58" s="3" t="s">
        <v>433</v>
      </c>
      <c r="F58" s="3" t="s">
        <v>83</v>
      </c>
      <c r="G58" s="3" t="s">
        <v>83</v>
      </c>
      <c r="H58" s="3" t="s">
        <v>40</v>
      </c>
      <c r="I58" s="3" t="s">
        <v>135</v>
      </c>
      <c r="J58" s="3" t="s">
        <v>122</v>
      </c>
      <c r="K58" s="3" t="s">
        <v>75</v>
      </c>
      <c r="L58" s="3" t="s">
        <v>76</v>
      </c>
      <c r="M58" s="3"/>
      <c r="N58" s="3" t="s">
        <v>40</v>
      </c>
      <c r="O58" s="3" t="s">
        <v>434</v>
      </c>
      <c r="P58" s="3" t="s">
        <v>435</v>
      </c>
      <c r="Q58" s="3"/>
      <c r="R58" s="3" t="s">
        <v>126</v>
      </c>
      <c r="S58" s="3"/>
      <c r="T58" s="3"/>
      <c r="U58" s="3"/>
      <c r="V58" s="3" t="s">
        <v>50</v>
      </c>
      <c r="W58" s="3" t="s">
        <v>50</v>
      </c>
      <c r="X58" s="3" t="s">
        <v>51</v>
      </c>
      <c r="Y58" s="3" t="s">
        <v>52</v>
      </c>
      <c r="Z58" s="3" t="s">
        <v>53</v>
      </c>
    </row>
    <row r="59" customFormat="false" ht="15" hidden="false" customHeight="false" outlineLevel="0" collapsed="false">
      <c r="A59" s="3" t="s">
        <v>436</v>
      </c>
      <c r="B59" s="3" t="s">
        <v>437</v>
      </c>
      <c r="C59" s="3" t="s">
        <v>438</v>
      </c>
      <c r="D59" s="3" t="s">
        <v>438</v>
      </c>
      <c r="E59" s="3" t="s">
        <v>147</v>
      </c>
      <c r="F59" s="3" t="s">
        <v>83</v>
      </c>
      <c r="G59" s="3" t="s">
        <v>83</v>
      </c>
      <c r="H59" s="3" t="s">
        <v>40</v>
      </c>
      <c r="I59" s="3" t="s">
        <v>135</v>
      </c>
      <c r="J59" s="3" t="s">
        <v>122</v>
      </c>
      <c r="K59" s="3" t="s">
        <v>75</v>
      </c>
      <c r="L59" s="3" t="s">
        <v>76</v>
      </c>
      <c r="M59" s="3"/>
      <c r="N59" s="3" t="s">
        <v>40</v>
      </c>
      <c r="O59" s="3" t="s">
        <v>439</v>
      </c>
      <c r="P59" s="3" t="s">
        <v>440</v>
      </c>
      <c r="Q59" s="3"/>
      <c r="R59" s="3" t="s">
        <v>126</v>
      </c>
      <c r="S59" s="3"/>
      <c r="T59" s="3"/>
      <c r="U59" s="3"/>
      <c r="V59" s="3" t="s">
        <v>50</v>
      </c>
      <c r="W59" s="3" t="s">
        <v>50</v>
      </c>
      <c r="X59" s="3" t="s">
        <v>51</v>
      </c>
      <c r="Y59" s="3" t="s">
        <v>52</v>
      </c>
      <c r="Z59" s="3" t="s">
        <v>53</v>
      </c>
    </row>
    <row r="60" customFormat="false" ht="15" hidden="false" customHeight="false" outlineLevel="0" collapsed="false">
      <c r="A60" s="3" t="s">
        <v>441</v>
      </c>
      <c r="B60" s="3" t="s">
        <v>442</v>
      </c>
      <c r="C60" s="3" t="s">
        <v>443</v>
      </c>
      <c r="D60" s="3" t="s">
        <v>443</v>
      </c>
      <c r="E60" s="3" t="s">
        <v>444</v>
      </c>
      <c r="F60" s="3" t="s">
        <v>83</v>
      </c>
      <c r="G60" s="3" t="s">
        <v>83</v>
      </c>
      <c r="H60" s="3" t="s">
        <v>40</v>
      </c>
      <c r="I60" s="3" t="s">
        <v>135</v>
      </c>
      <c r="J60" s="3" t="s">
        <v>122</v>
      </c>
      <c r="K60" s="3" t="s">
        <v>75</v>
      </c>
      <c r="L60" s="3" t="s">
        <v>76</v>
      </c>
      <c r="M60" s="3"/>
      <c r="N60" s="3" t="s">
        <v>40</v>
      </c>
      <c r="O60" s="3" t="s">
        <v>445</v>
      </c>
      <c r="P60" s="3" t="s">
        <v>446</v>
      </c>
      <c r="Q60" s="3"/>
      <c r="R60" s="3" t="s">
        <v>126</v>
      </c>
      <c r="S60" s="3"/>
      <c r="T60" s="3"/>
      <c r="U60" s="3"/>
      <c r="V60" s="3" t="s">
        <v>50</v>
      </c>
      <c r="W60" s="3" t="s">
        <v>50</v>
      </c>
      <c r="X60" s="3" t="s">
        <v>51</v>
      </c>
      <c r="Y60" s="3" t="s">
        <v>52</v>
      </c>
      <c r="Z60" s="3" t="s">
        <v>53</v>
      </c>
    </row>
    <row r="61" customFormat="false" ht="15" hidden="false" customHeight="false" outlineLevel="0" collapsed="false">
      <c r="A61" s="6" t="s">
        <v>447</v>
      </c>
      <c r="B61" s="6" t="s">
        <v>448</v>
      </c>
      <c r="C61" s="6" t="s">
        <v>449</v>
      </c>
      <c r="D61" s="6" t="s">
        <v>449</v>
      </c>
      <c r="E61" s="6" t="s">
        <v>165</v>
      </c>
      <c r="F61" s="6"/>
      <c r="G61" s="6" t="s">
        <v>188</v>
      </c>
      <c r="H61" s="6" t="s">
        <v>187</v>
      </c>
      <c r="I61" s="6" t="s">
        <v>135</v>
      </c>
      <c r="J61" s="6" t="s">
        <v>122</v>
      </c>
      <c r="K61" s="6" t="s">
        <v>75</v>
      </c>
      <c r="L61" s="6" t="s">
        <v>76</v>
      </c>
      <c r="M61" s="6"/>
      <c r="N61" s="6" t="s">
        <v>40</v>
      </c>
      <c r="O61" s="6" t="s">
        <v>450</v>
      </c>
      <c r="P61" s="6" t="s">
        <v>451</v>
      </c>
      <c r="Q61" s="6" t="s">
        <v>170</v>
      </c>
      <c r="R61" s="6" t="s">
        <v>126</v>
      </c>
      <c r="S61" s="6"/>
      <c r="T61" s="6"/>
      <c r="U61" s="6" t="s">
        <v>452</v>
      </c>
      <c r="V61" s="6" t="s">
        <v>50</v>
      </c>
      <c r="W61" s="6" t="s">
        <v>50</v>
      </c>
      <c r="X61" s="6" t="s">
        <v>51</v>
      </c>
      <c r="Y61" s="6" t="s">
        <v>173</v>
      </c>
      <c r="Z61" s="6" t="s">
        <v>194</v>
      </c>
    </row>
    <row r="62" customFormat="false" ht="15" hidden="false" customHeight="false" outlineLevel="0" collapsed="false">
      <c r="A62" s="6" t="s">
        <v>453</v>
      </c>
      <c r="B62" s="6" t="s">
        <v>454</v>
      </c>
      <c r="C62" s="6" t="s">
        <v>455</v>
      </c>
      <c r="D62" s="6" t="s">
        <v>455</v>
      </c>
      <c r="E62" s="6" t="s">
        <v>456</v>
      </c>
      <c r="F62" s="6"/>
      <c r="G62" s="6" t="s">
        <v>188</v>
      </c>
      <c r="H62" s="6" t="s">
        <v>187</v>
      </c>
      <c r="I62" s="6" t="s">
        <v>135</v>
      </c>
      <c r="J62" s="6" t="s">
        <v>42</v>
      </c>
      <c r="K62" s="6" t="s">
        <v>43</v>
      </c>
      <c r="L62" s="6" t="s">
        <v>44</v>
      </c>
      <c r="M62" s="6" t="s">
        <v>45</v>
      </c>
      <c r="N62" s="6" t="s">
        <v>46</v>
      </c>
      <c r="O62" s="6" t="s">
        <v>457</v>
      </c>
      <c r="P62" s="6" t="s">
        <v>458</v>
      </c>
      <c r="Q62" s="6" t="s">
        <v>459</v>
      </c>
      <c r="R62" s="6" t="s">
        <v>192</v>
      </c>
      <c r="S62" s="6"/>
      <c r="T62" s="6"/>
      <c r="U62" s="6" t="s">
        <v>460</v>
      </c>
      <c r="V62" s="6" t="s">
        <v>50</v>
      </c>
      <c r="W62" s="6" t="s">
        <v>50</v>
      </c>
      <c r="X62" s="6" t="s">
        <v>51</v>
      </c>
      <c r="Y62" s="6" t="s">
        <v>173</v>
      </c>
      <c r="Z62" s="6" t="s">
        <v>194</v>
      </c>
    </row>
    <row r="63" customFormat="false" ht="15" hidden="false" customHeight="false" outlineLevel="0" collapsed="false">
      <c r="A63" s="5" t="s">
        <v>461</v>
      </c>
      <c r="B63" s="5" t="s">
        <v>462</v>
      </c>
      <c r="C63" s="5" t="s">
        <v>463</v>
      </c>
      <c r="D63" s="5" t="s">
        <v>463</v>
      </c>
      <c r="E63" s="5" t="s">
        <v>165</v>
      </c>
      <c r="F63" s="5"/>
      <c r="G63" s="5" t="s">
        <v>166</v>
      </c>
      <c r="H63" s="5" t="s">
        <v>46</v>
      </c>
      <c r="I63" s="5" t="s">
        <v>135</v>
      </c>
      <c r="J63" s="5" t="s">
        <v>42</v>
      </c>
      <c r="K63" s="5" t="s">
        <v>43</v>
      </c>
      <c r="L63" s="5" t="s">
        <v>44</v>
      </c>
      <c r="M63" s="5" t="s">
        <v>45</v>
      </c>
      <c r="N63" s="5" t="s">
        <v>46</v>
      </c>
      <c r="O63" s="5" t="s">
        <v>464</v>
      </c>
      <c r="P63" s="5" t="s">
        <v>465</v>
      </c>
      <c r="Q63" s="5" t="s">
        <v>170</v>
      </c>
      <c r="R63" s="5" t="s">
        <v>307</v>
      </c>
      <c r="S63" s="5"/>
      <c r="T63" s="5"/>
      <c r="U63" s="5" t="s">
        <v>466</v>
      </c>
      <c r="V63" s="5" t="s">
        <v>50</v>
      </c>
      <c r="W63" s="5" t="s">
        <v>50</v>
      </c>
      <c r="X63" s="5" t="s">
        <v>51</v>
      </c>
      <c r="Y63" s="5" t="s">
        <v>173</v>
      </c>
      <c r="Z63" s="5" t="s">
        <v>174</v>
      </c>
    </row>
    <row r="64" customFormat="false" ht="15" hidden="false" customHeight="false" outlineLevel="0" collapsed="false">
      <c r="A64" s="5" t="s">
        <v>467</v>
      </c>
      <c r="B64" s="5" t="s">
        <v>468</v>
      </c>
      <c r="C64" s="5" t="s">
        <v>469</v>
      </c>
      <c r="D64" s="5" t="s">
        <v>469</v>
      </c>
      <c r="E64" s="5" t="s">
        <v>165</v>
      </c>
      <c r="F64" s="5"/>
      <c r="G64" s="5" t="s">
        <v>166</v>
      </c>
      <c r="H64" s="5" t="s">
        <v>46</v>
      </c>
      <c r="I64" s="5" t="s">
        <v>135</v>
      </c>
      <c r="J64" s="5" t="s">
        <v>42</v>
      </c>
      <c r="K64" s="5" t="s">
        <v>43</v>
      </c>
      <c r="L64" s="5" t="s">
        <v>44</v>
      </c>
      <c r="M64" s="5" t="s">
        <v>45</v>
      </c>
      <c r="N64" s="5" t="s">
        <v>46</v>
      </c>
      <c r="O64" s="5" t="s">
        <v>470</v>
      </c>
      <c r="P64" s="5" t="s">
        <v>471</v>
      </c>
      <c r="Q64" s="5" t="s">
        <v>170</v>
      </c>
      <c r="R64" s="5" t="s">
        <v>171</v>
      </c>
      <c r="S64" s="5"/>
      <c r="T64" s="5"/>
      <c r="U64" s="5" t="s">
        <v>472</v>
      </c>
      <c r="V64" s="5" t="s">
        <v>50</v>
      </c>
      <c r="W64" s="5" t="s">
        <v>50</v>
      </c>
      <c r="X64" s="5" t="s">
        <v>51</v>
      </c>
      <c r="Y64" s="5" t="s">
        <v>173</v>
      </c>
      <c r="Z64" s="5" t="s">
        <v>174</v>
      </c>
    </row>
    <row r="65" customFormat="false" ht="15" hidden="false" customHeight="false" outlineLevel="0" collapsed="false">
      <c r="A65" s="6" t="s">
        <v>473</v>
      </c>
      <c r="B65" s="6" t="s">
        <v>474</v>
      </c>
      <c r="C65" s="6" t="s">
        <v>475</v>
      </c>
      <c r="D65" s="6" t="s">
        <v>475</v>
      </c>
      <c r="E65" s="6" t="s">
        <v>343</v>
      </c>
      <c r="F65" s="6"/>
      <c r="G65" s="6" t="s">
        <v>188</v>
      </c>
      <c r="H65" s="6" t="s">
        <v>187</v>
      </c>
      <c r="I65" s="6" t="s">
        <v>135</v>
      </c>
      <c r="J65" s="6" t="s">
        <v>42</v>
      </c>
      <c r="K65" s="6" t="s">
        <v>43</v>
      </c>
      <c r="L65" s="6" t="s">
        <v>44</v>
      </c>
      <c r="M65" s="6" t="s">
        <v>45</v>
      </c>
      <c r="N65" s="6" t="s">
        <v>46</v>
      </c>
      <c r="O65" s="6" t="s">
        <v>476</v>
      </c>
      <c r="P65" s="6" t="s">
        <v>477</v>
      </c>
      <c r="Q65" s="6" t="s">
        <v>478</v>
      </c>
      <c r="R65" s="6" t="s">
        <v>192</v>
      </c>
      <c r="S65" s="6"/>
      <c r="T65" s="6"/>
      <c r="U65" s="6" t="s">
        <v>479</v>
      </c>
      <c r="V65" s="6" t="s">
        <v>50</v>
      </c>
      <c r="W65" s="6" t="s">
        <v>50</v>
      </c>
      <c r="X65" s="6" t="s">
        <v>51</v>
      </c>
      <c r="Y65" s="6" t="s">
        <v>173</v>
      </c>
      <c r="Z65" s="6" t="s">
        <v>194</v>
      </c>
    </row>
    <row r="66" customFormat="false" ht="15" hidden="false" customHeight="false" outlineLevel="0" collapsed="false">
      <c r="A66" s="6" t="s">
        <v>480</v>
      </c>
      <c r="B66" s="6" t="s">
        <v>481</v>
      </c>
      <c r="C66" s="6" t="s">
        <v>482</v>
      </c>
      <c r="D66" s="6" t="s">
        <v>482</v>
      </c>
      <c r="E66" s="6" t="s">
        <v>483</v>
      </c>
      <c r="F66" s="6"/>
      <c r="G66" s="6" t="s">
        <v>188</v>
      </c>
      <c r="H66" s="6" t="s">
        <v>187</v>
      </c>
      <c r="I66" s="6" t="s">
        <v>135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484</v>
      </c>
      <c r="P66" s="6" t="s">
        <v>485</v>
      </c>
      <c r="Q66" s="6" t="s">
        <v>245</v>
      </c>
      <c r="R66" s="6" t="s">
        <v>486</v>
      </c>
      <c r="S66" s="6"/>
      <c r="T66" s="6"/>
      <c r="U66" s="6" t="s">
        <v>334</v>
      </c>
      <c r="V66" s="6" t="s">
        <v>50</v>
      </c>
      <c r="W66" s="6" t="s">
        <v>50</v>
      </c>
      <c r="X66" s="6" t="s">
        <v>51</v>
      </c>
      <c r="Y66" s="6" t="s">
        <v>173</v>
      </c>
      <c r="Z66" s="6" t="s">
        <v>194</v>
      </c>
    </row>
    <row r="67" customFormat="false" ht="15" hidden="false" customHeight="false" outlineLevel="0" collapsed="false">
      <c r="A67" s="6" t="s">
        <v>487</v>
      </c>
      <c r="B67" s="6" t="s">
        <v>488</v>
      </c>
      <c r="C67" s="6" t="s">
        <v>489</v>
      </c>
      <c r="D67" s="6" t="s">
        <v>489</v>
      </c>
      <c r="E67" s="6" t="s">
        <v>483</v>
      </c>
      <c r="F67" s="6"/>
      <c r="G67" s="6" t="s">
        <v>188</v>
      </c>
      <c r="H67" s="6" t="s">
        <v>187</v>
      </c>
      <c r="I67" s="6" t="s">
        <v>135</v>
      </c>
      <c r="J67" s="6" t="s">
        <v>294</v>
      </c>
      <c r="K67" s="6" t="s">
        <v>43</v>
      </c>
      <c r="L67" s="6" t="s">
        <v>296</v>
      </c>
      <c r="M67" s="6"/>
      <c r="N67" s="6" t="s">
        <v>46</v>
      </c>
      <c r="O67" s="6" t="s">
        <v>490</v>
      </c>
      <c r="P67" s="6" t="s">
        <v>491</v>
      </c>
      <c r="Q67" s="6" t="s">
        <v>492</v>
      </c>
      <c r="R67" s="6" t="s">
        <v>412</v>
      </c>
      <c r="S67" s="6"/>
      <c r="T67" s="6"/>
      <c r="U67" s="6" t="s">
        <v>493</v>
      </c>
      <c r="V67" s="6" t="s">
        <v>50</v>
      </c>
      <c r="W67" s="6" t="s">
        <v>50</v>
      </c>
      <c r="X67" s="6" t="s">
        <v>51</v>
      </c>
      <c r="Y67" s="6" t="s">
        <v>173</v>
      </c>
      <c r="Z67" s="6" t="s">
        <v>194</v>
      </c>
    </row>
    <row r="68" customFormat="false" ht="15" hidden="false" customHeight="false" outlineLevel="0" collapsed="false">
      <c r="A68" s="3" t="s">
        <v>494</v>
      </c>
      <c r="B68" s="3" t="s">
        <v>495</v>
      </c>
      <c r="C68" s="3" t="s">
        <v>496</v>
      </c>
      <c r="D68" s="3" t="s">
        <v>496</v>
      </c>
      <c r="E68" s="3" t="s">
        <v>497</v>
      </c>
      <c r="F68" s="3" t="s">
        <v>57</v>
      </c>
      <c r="G68" s="3" t="s">
        <v>57</v>
      </c>
      <c r="H68" s="3" t="s">
        <v>40</v>
      </c>
      <c r="I68" s="3" t="s">
        <v>135</v>
      </c>
      <c r="J68" s="3" t="s">
        <v>498</v>
      </c>
      <c r="K68" s="3" t="s">
        <v>179</v>
      </c>
      <c r="L68" s="3" t="s">
        <v>180</v>
      </c>
      <c r="M68" s="3"/>
      <c r="N68" s="3" t="s">
        <v>40</v>
      </c>
      <c r="O68" s="3" t="s">
        <v>499</v>
      </c>
      <c r="P68" s="3" t="s">
        <v>500</v>
      </c>
      <c r="Q68" s="3"/>
      <c r="R68" s="3"/>
      <c r="S68" s="3"/>
      <c r="T68" s="3"/>
      <c r="U68" s="3"/>
      <c r="V68" s="3" t="s">
        <v>50</v>
      </c>
      <c r="W68" s="3" t="s">
        <v>50</v>
      </c>
      <c r="X68" s="3" t="s">
        <v>51</v>
      </c>
      <c r="Y68" s="3" t="s">
        <v>52</v>
      </c>
      <c r="Z68" s="3" t="s">
        <v>53</v>
      </c>
    </row>
    <row r="69" customFormat="false" ht="15" hidden="false" customHeight="false" outlineLevel="0" collapsed="false">
      <c r="A69" s="3" t="s">
        <v>501</v>
      </c>
      <c r="B69" s="3" t="s">
        <v>502</v>
      </c>
      <c r="C69" s="3" t="s">
        <v>503</v>
      </c>
      <c r="D69" s="3" t="s">
        <v>503</v>
      </c>
      <c r="E69" s="3" t="s">
        <v>504</v>
      </c>
      <c r="F69" s="3" t="s">
        <v>83</v>
      </c>
      <c r="G69" s="3" t="s">
        <v>83</v>
      </c>
      <c r="H69" s="3" t="s">
        <v>40</v>
      </c>
      <c r="I69" s="3" t="s">
        <v>135</v>
      </c>
      <c r="J69" s="3" t="s">
        <v>498</v>
      </c>
      <c r="K69" s="3" t="s">
        <v>179</v>
      </c>
      <c r="L69" s="3" t="s">
        <v>180</v>
      </c>
      <c r="M69" s="3"/>
      <c r="N69" s="3" t="s">
        <v>40</v>
      </c>
      <c r="O69" s="3" t="s">
        <v>505</v>
      </c>
      <c r="P69" s="3" t="s">
        <v>506</v>
      </c>
      <c r="Q69" s="3"/>
      <c r="R69" s="3"/>
      <c r="S69" s="3"/>
      <c r="T69" s="3"/>
      <c r="U69" s="3"/>
      <c r="V69" s="3" t="s">
        <v>50</v>
      </c>
      <c r="W69" s="3" t="s">
        <v>50</v>
      </c>
      <c r="X69" s="3" t="s">
        <v>51</v>
      </c>
      <c r="Y69" s="3" t="s">
        <v>52</v>
      </c>
      <c r="Z69" s="3" t="s">
        <v>53</v>
      </c>
    </row>
    <row r="70" customFormat="false" ht="15" hidden="false" customHeight="false" outlineLevel="0" collapsed="false">
      <c r="A70" s="3" t="s">
        <v>507</v>
      </c>
      <c r="B70" s="3" t="s">
        <v>508</v>
      </c>
      <c r="C70" s="3" t="s">
        <v>509</v>
      </c>
      <c r="D70" s="3" t="s">
        <v>509</v>
      </c>
      <c r="E70" s="3" t="s">
        <v>134</v>
      </c>
      <c r="F70" s="3" t="s">
        <v>83</v>
      </c>
      <c r="G70" s="3" t="s">
        <v>83</v>
      </c>
      <c r="H70" s="3" t="s">
        <v>40</v>
      </c>
      <c r="I70" s="3" t="s">
        <v>135</v>
      </c>
      <c r="J70" s="3" t="s">
        <v>498</v>
      </c>
      <c r="K70" s="3" t="s">
        <v>179</v>
      </c>
      <c r="L70" s="3" t="s">
        <v>180</v>
      </c>
      <c r="M70" s="3"/>
      <c r="N70" s="3" t="s">
        <v>40</v>
      </c>
      <c r="O70" s="3" t="s">
        <v>510</v>
      </c>
      <c r="P70" s="3" t="s">
        <v>511</v>
      </c>
      <c r="Q70" s="3"/>
      <c r="R70" s="3"/>
      <c r="S70" s="3"/>
      <c r="T70" s="3"/>
      <c r="U70" s="3"/>
      <c r="V70" s="3" t="s">
        <v>50</v>
      </c>
      <c r="W70" s="3" t="s">
        <v>50</v>
      </c>
      <c r="X70" s="3" t="s">
        <v>51</v>
      </c>
      <c r="Y70" s="3" t="s">
        <v>52</v>
      </c>
      <c r="Z70" s="3" t="s">
        <v>53</v>
      </c>
    </row>
    <row r="71" customFormat="false" ht="15" hidden="false" customHeight="false" outlineLevel="0" collapsed="false">
      <c r="A71" s="5" t="s">
        <v>512</v>
      </c>
      <c r="B71" s="5" t="s">
        <v>513</v>
      </c>
      <c r="C71" s="5" t="s">
        <v>514</v>
      </c>
      <c r="D71" s="5" t="s">
        <v>514</v>
      </c>
      <c r="E71" s="5" t="s">
        <v>456</v>
      </c>
      <c r="F71" s="5"/>
      <c r="G71" s="5" t="s">
        <v>166</v>
      </c>
      <c r="H71" s="5" t="s">
        <v>46</v>
      </c>
      <c r="I71" s="5" t="s">
        <v>135</v>
      </c>
      <c r="J71" s="5" t="s">
        <v>417</v>
      </c>
      <c r="K71" s="5" t="s">
        <v>43</v>
      </c>
      <c r="L71" s="5" t="s">
        <v>59</v>
      </c>
      <c r="M71" s="5" t="s">
        <v>418</v>
      </c>
      <c r="N71" s="5" t="s">
        <v>46</v>
      </c>
      <c r="O71" s="5" t="s">
        <v>515</v>
      </c>
      <c r="P71" s="5" t="s">
        <v>516</v>
      </c>
      <c r="Q71" s="5" t="s">
        <v>517</v>
      </c>
      <c r="R71" s="5" t="s">
        <v>171</v>
      </c>
      <c r="S71" s="5"/>
      <c r="T71" s="5"/>
      <c r="U71" s="5" t="s">
        <v>518</v>
      </c>
      <c r="V71" s="5" t="s">
        <v>50</v>
      </c>
      <c r="W71" s="5" t="s">
        <v>50</v>
      </c>
      <c r="X71" s="5" t="s">
        <v>51</v>
      </c>
      <c r="Y71" s="5" t="s">
        <v>173</v>
      </c>
      <c r="Z71" s="5" t="s">
        <v>174</v>
      </c>
    </row>
    <row r="72" customFormat="false" ht="15" hidden="false" customHeight="false" outlineLevel="0" collapsed="false">
      <c r="A72" s="6" t="s">
        <v>519</v>
      </c>
      <c r="B72" s="6" t="s">
        <v>520</v>
      </c>
      <c r="C72" s="6" t="s">
        <v>521</v>
      </c>
      <c r="D72" s="6" t="s">
        <v>521</v>
      </c>
      <c r="E72" s="6" t="s">
        <v>456</v>
      </c>
      <c r="F72" s="6"/>
      <c r="G72" s="6" t="s">
        <v>188</v>
      </c>
      <c r="H72" s="6" t="s">
        <v>187</v>
      </c>
      <c r="I72" s="6" t="s">
        <v>135</v>
      </c>
      <c r="J72" s="6" t="s">
        <v>417</v>
      </c>
      <c r="K72" s="6" t="s">
        <v>43</v>
      </c>
      <c r="L72" s="6" t="s">
        <v>59</v>
      </c>
      <c r="M72" s="6" t="s">
        <v>418</v>
      </c>
      <c r="N72" s="6" t="s">
        <v>46</v>
      </c>
      <c r="O72" s="6" t="s">
        <v>522</v>
      </c>
      <c r="P72" s="6" t="s">
        <v>523</v>
      </c>
      <c r="Q72" s="6" t="s">
        <v>517</v>
      </c>
      <c r="R72" s="6" t="s">
        <v>192</v>
      </c>
      <c r="S72" s="6"/>
      <c r="T72" s="6"/>
      <c r="U72" s="6" t="s">
        <v>423</v>
      </c>
      <c r="V72" s="6" t="s">
        <v>50</v>
      </c>
      <c r="W72" s="6" t="s">
        <v>50</v>
      </c>
      <c r="X72" s="6" t="s">
        <v>51</v>
      </c>
      <c r="Y72" s="6" t="s">
        <v>173</v>
      </c>
      <c r="Z72" s="6" t="s">
        <v>194</v>
      </c>
    </row>
    <row r="73" customFormat="false" ht="15" hidden="false" customHeight="false" outlineLevel="0" collapsed="false">
      <c r="A73" s="5" t="s">
        <v>524</v>
      </c>
      <c r="B73" s="5" t="s">
        <v>525</v>
      </c>
      <c r="C73" s="5" t="s">
        <v>526</v>
      </c>
      <c r="D73" s="5" t="s">
        <v>526</v>
      </c>
      <c r="E73" s="5" t="s">
        <v>198</v>
      </c>
      <c r="F73" s="5"/>
      <c r="G73" s="5" t="s">
        <v>166</v>
      </c>
      <c r="H73" s="5" t="s">
        <v>46</v>
      </c>
      <c r="I73" s="5" t="s">
        <v>135</v>
      </c>
      <c r="J73" s="5" t="s">
        <v>74</v>
      </c>
      <c r="K73" s="5" t="s">
        <v>75</v>
      </c>
      <c r="L73" s="5" t="s">
        <v>76</v>
      </c>
      <c r="M73" s="5"/>
      <c r="N73" s="5" t="s">
        <v>40</v>
      </c>
      <c r="O73" s="5" t="s">
        <v>527</v>
      </c>
      <c r="P73" s="5" t="s">
        <v>528</v>
      </c>
      <c r="Q73" s="5" t="s">
        <v>529</v>
      </c>
      <c r="R73" s="5" t="s">
        <v>171</v>
      </c>
      <c r="S73" s="5"/>
      <c r="T73" s="5"/>
      <c r="U73" s="5" t="s">
        <v>530</v>
      </c>
      <c r="V73" s="5" t="s">
        <v>50</v>
      </c>
      <c r="W73" s="5" t="s">
        <v>50</v>
      </c>
      <c r="X73" s="5" t="s">
        <v>51</v>
      </c>
      <c r="Y73" s="5" t="s">
        <v>173</v>
      </c>
      <c r="Z73" s="5" t="s">
        <v>174</v>
      </c>
    </row>
    <row r="74" customFormat="false" ht="15" hidden="false" customHeight="false" outlineLevel="0" collapsed="false">
      <c r="A74" s="5" t="s">
        <v>531</v>
      </c>
      <c r="B74" s="5" t="s">
        <v>532</v>
      </c>
      <c r="C74" s="5" t="s">
        <v>533</v>
      </c>
      <c r="D74" s="5" t="s">
        <v>533</v>
      </c>
      <c r="E74" s="5" t="s">
        <v>534</v>
      </c>
      <c r="F74" s="5"/>
      <c r="G74" s="5" t="s">
        <v>166</v>
      </c>
      <c r="H74" s="5" t="s">
        <v>46</v>
      </c>
      <c r="I74" s="5" t="s">
        <v>135</v>
      </c>
      <c r="J74" s="5" t="s">
        <v>74</v>
      </c>
      <c r="K74" s="5" t="s">
        <v>75</v>
      </c>
      <c r="L74" s="5" t="s">
        <v>76</v>
      </c>
      <c r="M74" s="5"/>
      <c r="N74" s="5" t="s">
        <v>40</v>
      </c>
      <c r="O74" s="5" t="s">
        <v>535</v>
      </c>
      <c r="P74" s="5" t="s">
        <v>536</v>
      </c>
      <c r="Q74" s="5" t="s">
        <v>537</v>
      </c>
      <c r="R74" s="5" t="s">
        <v>171</v>
      </c>
      <c r="S74" s="5"/>
      <c r="T74" s="5"/>
      <c r="U74" s="5" t="s">
        <v>538</v>
      </c>
      <c r="V74" s="5" t="s">
        <v>50</v>
      </c>
      <c r="W74" s="5" t="s">
        <v>50</v>
      </c>
      <c r="X74" s="5" t="s">
        <v>51</v>
      </c>
      <c r="Y74" s="5" t="s">
        <v>173</v>
      </c>
      <c r="Z74" s="5" t="s">
        <v>174</v>
      </c>
    </row>
    <row r="75" customFormat="false" ht="15" hidden="false" customHeight="false" outlineLevel="0" collapsed="false">
      <c r="A75" s="5" t="s">
        <v>539</v>
      </c>
      <c r="B75" s="5" t="s">
        <v>540</v>
      </c>
      <c r="C75" s="5" t="s">
        <v>541</v>
      </c>
      <c r="D75" s="5" t="s">
        <v>541</v>
      </c>
      <c r="E75" s="5" t="s">
        <v>165</v>
      </c>
      <c r="F75" s="5"/>
      <c r="G75" s="5" t="s">
        <v>166</v>
      </c>
      <c r="H75" s="5" t="s">
        <v>46</v>
      </c>
      <c r="I75" s="5" t="s">
        <v>135</v>
      </c>
      <c r="J75" s="5" t="s">
        <v>42</v>
      </c>
      <c r="K75" s="5" t="s">
        <v>43</v>
      </c>
      <c r="L75" s="5" t="s">
        <v>44</v>
      </c>
      <c r="M75" s="5" t="s">
        <v>45</v>
      </c>
      <c r="N75" s="5" t="s">
        <v>46</v>
      </c>
      <c r="O75" s="5" t="s">
        <v>542</v>
      </c>
      <c r="P75" s="5" t="s">
        <v>543</v>
      </c>
      <c r="Q75" s="5" t="s">
        <v>170</v>
      </c>
      <c r="R75" s="5" t="s">
        <v>307</v>
      </c>
      <c r="S75" s="5"/>
      <c r="T75" s="5"/>
      <c r="U75" s="5" t="s">
        <v>544</v>
      </c>
      <c r="V75" s="5" t="s">
        <v>50</v>
      </c>
      <c r="W75" s="5" t="s">
        <v>50</v>
      </c>
      <c r="X75" s="5" t="s">
        <v>51</v>
      </c>
      <c r="Y75" s="5" t="s">
        <v>173</v>
      </c>
      <c r="Z75" s="5" t="s">
        <v>174</v>
      </c>
    </row>
    <row r="76" customFormat="false" ht="15" hidden="false" customHeight="false" outlineLevel="0" collapsed="false">
      <c r="A76" s="5" t="s">
        <v>545</v>
      </c>
      <c r="B76" s="5" t="s">
        <v>546</v>
      </c>
      <c r="C76" s="5" t="s">
        <v>526</v>
      </c>
      <c r="D76" s="5" t="s">
        <v>526</v>
      </c>
      <c r="E76" s="5" t="s">
        <v>547</v>
      </c>
      <c r="F76" s="5" t="s">
        <v>166</v>
      </c>
      <c r="G76" s="5" t="s">
        <v>166</v>
      </c>
      <c r="H76" s="5" t="s">
        <v>46</v>
      </c>
      <c r="I76" s="5" t="s">
        <v>135</v>
      </c>
      <c r="J76" s="5" t="s">
        <v>74</v>
      </c>
      <c r="K76" s="5" t="s">
        <v>75</v>
      </c>
      <c r="L76" s="5" t="s">
        <v>76</v>
      </c>
      <c r="M76" s="5"/>
      <c r="N76" s="5" t="s">
        <v>40</v>
      </c>
      <c r="O76" s="5" t="s">
        <v>548</v>
      </c>
      <c r="P76" s="5" t="s">
        <v>549</v>
      </c>
      <c r="Q76" s="5"/>
      <c r="R76" s="5" t="s">
        <v>550</v>
      </c>
      <c r="S76" s="5"/>
      <c r="T76" s="5"/>
      <c r="U76" s="5"/>
      <c r="V76" s="5" t="s">
        <v>50</v>
      </c>
      <c r="W76" s="5" t="s">
        <v>50</v>
      </c>
      <c r="X76" s="5" t="s">
        <v>51</v>
      </c>
      <c r="Y76" s="5" t="s">
        <v>551</v>
      </c>
      <c r="Z76" s="5" t="s">
        <v>552</v>
      </c>
    </row>
    <row r="77" customFormat="false" ht="15" hidden="false" customHeight="false" outlineLevel="0" collapsed="false">
      <c r="A77" s="5" t="s">
        <v>553</v>
      </c>
      <c r="B77" s="5" t="s">
        <v>554</v>
      </c>
      <c r="C77" s="5" t="s">
        <v>555</v>
      </c>
      <c r="D77" s="5" t="s">
        <v>555</v>
      </c>
      <c r="E77" s="5" t="s">
        <v>547</v>
      </c>
      <c r="F77" s="5" t="s">
        <v>166</v>
      </c>
      <c r="G77" s="5" t="s">
        <v>166</v>
      </c>
      <c r="H77" s="5" t="s">
        <v>46</v>
      </c>
      <c r="I77" s="5" t="s">
        <v>135</v>
      </c>
      <c r="J77" s="5" t="s">
        <v>95</v>
      </c>
      <c r="K77" s="5" t="s">
        <v>43</v>
      </c>
      <c r="L77" s="5" t="s">
        <v>98</v>
      </c>
      <c r="M77" s="5" t="s">
        <v>99</v>
      </c>
      <c r="N77" s="5" t="s">
        <v>46</v>
      </c>
      <c r="O77" s="5" t="s">
        <v>556</v>
      </c>
      <c r="P77" s="5" t="s">
        <v>557</v>
      </c>
      <c r="Q77" s="5"/>
      <c r="R77" s="5" t="s">
        <v>558</v>
      </c>
      <c r="S77" s="5"/>
      <c r="T77" s="5"/>
      <c r="U77" s="5"/>
      <c r="V77" s="5" t="s">
        <v>50</v>
      </c>
      <c r="W77" s="5" t="s">
        <v>50</v>
      </c>
      <c r="X77" s="5" t="s">
        <v>51</v>
      </c>
      <c r="Y77" s="5" t="s">
        <v>551</v>
      </c>
      <c r="Z77" s="5" t="s">
        <v>552</v>
      </c>
    </row>
    <row r="78" customFormat="false" ht="15" hidden="false" customHeight="false" outlineLevel="0" collapsed="false">
      <c r="A78" s="5" t="s">
        <v>559</v>
      </c>
      <c r="B78" s="5" t="s">
        <v>560</v>
      </c>
      <c r="C78" s="5" t="s">
        <v>561</v>
      </c>
      <c r="D78" s="5" t="s">
        <v>561</v>
      </c>
      <c r="E78" s="5" t="s">
        <v>547</v>
      </c>
      <c r="F78" s="5" t="s">
        <v>166</v>
      </c>
      <c r="G78" s="5" t="s">
        <v>166</v>
      </c>
      <c r="H78" s="5" t="s">
        <v>46</v>
      </c>
      <c r="I78" s="5" t="s">
        <v>135</v>
      </c>
      <c r="J78" s="5" t="s">
        <v>95</v>
      </c>
      <c r="K78" s="5" t="s">
        <v>43</v>
      </c>
      <c r="L78" s="5" t="s">
        <v>98</v>
      </c>
      <c r="M78" s="5" t="s">
        <v>99</v>
      </c>
      <c r="N78" s="5" t="s">
        <v>46</v>
      </c>
      <c r="O78" s="5" t="s">
        <v>562</v>
      </c>
      <c r="P78" s="5" t="s">
        <v>563</v>
      </c>
      <c r="Q78" s="5"/>
      <c r="R78" s="5" t="s">
        <v>564</v>
      </c>
      <c r="S78" s="5"/>
      <c r="T78" s="5"/>
      <c r="U78" s="5"/>
      <c r="V78" s="5" t="s">
        <v>50</v>
      </c>
      <c r="W78" s="5" t="s">
        <v>50</v>
      </c>
      <c r="X78" s="5" t="s">
        <v>51</v>
      </c>
      <c r="Y78" s="5" t="s">
        <v>551</v>
      </c>
      <c r="Z78" s="5" t="s">
        <v>552</v>
      </c>
    </row>
    <row r="79" customFormat="false" ht="15" hidden="false" customHeight="false" outlineLevel="0" collapsed="false">
      <c r="A79" s="5" t="s">
        <v>565</v>
      </c>
      <c r="B79" s="5" t="s">
        <v>566</v>
      </c>
      <c r="C79" s="5" t="s">
        <v>482</v>
      </c>
      <c r="D79" s="5" t="s">
        <v>482</v>
      </c>
      <c r="E79" s="5" t="s">
        <v>547</v>
      </c>
      <c r="F79" s="5" t="s">
        <v>166</v>
      </c>
      <c r="G79" s="5" t="s">
        <v>166</v>
      </c>
      <c r="H79" s="5" t="s">
        <v>46</v>
      </c>
      <c r="I79" s="5" t="s">
        <v>135</v>
      </c>
      <c r="J79" s="5" t="s">
        <v>42</v>
      </c>
      <c r="K79" s="5" t="s">
        <v>43</v>
      </c>
      <c r="L79" s="5" t="s">
        <v>44</v>
      </c>
      <c r="M79" s="5" t="s">
        <v>45</v>
      </c>
      <c r="N79" s="5" t="s">
        <v>46</v>
      </c>
      <c r="O79" s="5" t="s">
        <v>567</v>
      </c>
      <c r="P79" s="5" t="s">
        <v>568</v>
      </c>
      <c r="Q79" s="5"/>
      <c r="R79" s="5" t="s">
        <v>569</v>
      </c>
      <c r="S79" s="5"/>
      <c r="T79" s="5"/>
      <c r="U79" s="5"/>
      <c r="V79" s="5" t="s">
        <v>50</v>
      </c>
      <c r="W79" s="5" t="s">
        <v>50</v>
      </c>
      <c r="X79" s="5" t="s">
        <v>51</v>
      </c>
      <c r="Y79" s="5" t="s">
        <v>551</v>
      </c>
      <c r="Z79" s="5" t="s">
        <v>552</v>
      </c>
    </row>
    <row r="80" customFormat="false" ht="15" hidden="false" customHeight="false" outlineLevel="0" collapsed="false">
      <c r="A80" s="5" t="s">
        <v>570</v>
      </c>
      <c r="B80" s="5" t="s">
        <v>571</v>
      </c>
      <c r="C80" s="5" t="s">
        <v>221</v>
      </c>
      <c r="D80" s="5" t="s">
        <v>221</v>
      </c>
      <c r="E80" s="5" t="s">
        <v>547</v>
      </c>
      <c r="F80" s="5" t="s">
        <v>166</v>
      </c>
      <c r="G80" s="5" t="s">
        <v>166</v>
      </c>
      <c r="H80" s="5" t="s">
        <v>46</v>
      </c>
      <c r="I80" s="5" t="s">
        <v>135</v>
      </c>
      <c r="J80" s="5" t="s">
        <v>65</v>
      </c>
      <c r="K80" s="5" t="s">
        <v>43</v>
      </c>
      <c r="L80" s="5" t="s">
        <v>59</v>
      </c>
      <c r="M80" s="5"/>
      <c r="N80" s="5" t="s">
        <v>46</v>
      </c>
      <c r="O80" s="5" t="s">
        <v>572</v>
      </c>
      <c r="P80" s="5" t="s">
        <v>573</v>
      </c>
      <c r="Q80" s="5"/>
      <c r="R80" s="5" t="s">
        <v>574</v>
      </c>
      <c r="S80" s="5"/>
      <c r="T80" s="5"/>
      <c r="U80" s="5"/>
      <c r="V80" s="5" t="s">
        <v>50</v>
      </c>
      <c r="W80" s="5" t="s">
        <v>50</v>
      </c>
      <c r="X80" s="5" t="s">
        <v>51</v>
      </c>
      <c r="Y80" s="5" t="s">
        <v>551</v>
      </c>
      <c r="Z80" s="5" t="s">
        <v>552</v>
      </c>
    </row>
    <row r="81" customFormat="false" ht="15" hidden="false" customHeight="false" outlineLevel="0" collapsed="false">
      <c r="A81" s="5" t="s">
        <v>575</v>
      </c>
      <c r="B81" s="5" t="s">
        <v>576</v>
      </c>
      <c r="C81" s="5" t="s">
        <v>408</v>
      </c>
      <c r="D81" s="5" t="s">
        <v>408</v>
      </c>
      <c r="E81" s="5" t="s">
        <v>547</v>
      </c>
      <c r="F81" s="5" t="s">
        <v>166</v>
      </c>
      <c r="G81" s="5" t="s">
        <v>166</v>
      </c>
      <c r="H81" s="5" t="s">
        <v>46</v>
      </c>
      <c r="I81" s="5" t="s">
        <v>135</v>
      </c>
      <c r="J81" s="5" t="s">
        <v>294</v>
      </c>
      <c r="K81" s="5" t="s">
        <v>43</v>
      </c>
      <c r="L81" s="5" t="s">
        <v>296</v>
      </c>
      <c r="M81" s="5"/>
      <c r="N81" s="5" t="s">
        <v>46</v>
      </c>
      <c r="O81" s="5" t="s">
        <v>577</v>
      </c>
      <c r="P81" s="5" t="s">
        <v>578</v>
      </c>
      <c r="Q81" s="5"/>
      <c r="R81" s="5" t="s">
        <v>579</v>
      </c>
      <c r="S81" s="5"/>
      <c r="T81" s="5"/>
      <c r="U81" s="5"/>
      <c r="V81" s="5" t="s">
        <v>50</v>
      </c>
      <c r="W81" s="5" t="s">
        <v>50</v>
      </c>
      <c r="X81" s="5" t="s">
        <v>51</v>
      </c>
      <c r="Y81" s="5" t="s">
        <v>551</v>
      </c>
      <c r="Z81" s="5" t="s">
        <v>552</v>
      </c>
    </row>
    <row r="82" customFormat="false" ht="15" hidden="false" customHeight="false" outlineLevel="0" collapsed="false">
      <c r="A82" s="5" t="s">
        <v>580</v>
      </c>
      <c r="B82" s="5" t="s">
        <v>581</v>
      </c>
      <c r="C82" s="5" t="s">
        <v>249</v>
      </c>
      <c r="D82" s="5" t="s">
        <v>249</v>
      </c>
      <c r="E82" s="5" t="s">
        <v>547</v>
      </c>
      <c r="F82" s="5" t="s">
        <v>166</v>
      </c>
      <c r="G82" s="5" t="s">
        <v>166</v>
      </c>
      <c r="H82" s="5" t="s">
        <v>46</v>
      </c>
      <c r="I82" s="5" t="s">
        <v>135</v>
      </c>
      <c r="J82" s="5" t="s">
        <v>74</v>
      </c>
      <c r="K82" s="5" t="s">
        <v>75</v>
      </c>
      <c r="L82" s="5" t="s">
        <v>76</v>
      </c>
      <c r="M82" s="5"/>
      <c r="N82" s="5" t="s">
        <v>40</v>
      </c>
      <c r="O82" s="5" t="s">
        <v>582</v>
      </c>
      <c r="P82" s="5" t="s">
        <v>583</v>
      </c>
      <c r="Q82" s="5"/>
      <c r="R82" s="5" t="s">
        <v>584</v>
      </c>
      <c r="S82" s="5"/>
      <c r="T82" s="5"/>
      <c r="U82" s="5"/>
      <c r="V82" s="5" t="s">
        <v>50</v>
      </c>
      <c r="W82" s="5" t="s">
        <v>50</v>
      </c>
      <c r="X82" s="5" t="s">
        <v>51</v>
      </c>
      <c r="Y82" s="5" t="s">
        <v>551</v>
      </c>
      <c r="Z82" s="5" t="s">
        <v>552</v>
      </c>
    </row>
    <row r="83" customFormat="false" ht="15" hidden="false" customHeight="false" outlineLevel="0" collapsed="false">
      <c r="A83" s="5" t="s">
        <v>585</v>
      </c>
      <c r="B83" s="5" t="s">
        <v>586</v>
      </c>
      <c r="C83" s="5" t="s">
        <v>533</v>
      </c>
      <c r="D83" s="5" t="s">
        <v>533</v>
      </c>
      <c r="E83" s="5" t="s">
        <v>547</v>
      </c>
      <c r="F83" s="5" t="s">
        <v>166</v>
      </c>
      <c r="G83" s="5" t="s">
        <v>166</v>
      </c>
      <c r="H83" s="5" t="s">
        <v>46</v>
      </c>
      <c r="I83" s="5" t="s">
        <v>135</v>
      </c>
      <c r="J83" s="5" t="s">
        <v>74</v>
      </c>
      <c r="K83" s="5" t="s">
        <v>75</v>
      </c>
      <c r="L83" s="5" t="s">
        <v>76</v>
      </c>
      <c r="M83" s="5"/>
      <c r="N83" s="5" t="s">
        <v>40</v>
      </c>
      <c r="O83" s="5" t="s">
        <v>587</v>
      </c>
      <c r="P83" s="5" t="s">
        <v>588</v>
      </c>
      <c r="Q83" s="5"/>
      <c r="R83" s="5" t="s">
        <v>589</v>
      </c>
      <c r="S83" s="5"/>
      <c r="T83" s="5"/>
      <c r="U83" s="5"/>
      <c r="V83" s="5" t="s">
        <v>50</v>
      </c>
      <c r="W83" s="5" t="s">
        <v>50</v>
      </c>
      <c r="X83" s="5" t="s">
        <v>51</v>
      </c>
      <c r="Y83" s="5" t="s">
        <v>551</v>
      </c>
      <c r="Z83" s="5" t="s">
        <v>552</v>
      </c>
    </row>
    <row r="84" customFormat="false" ht="15" hidden="false" customHeight="false" outlineLevel="0" collapsed="false">
      <c r="A84" s="5" t="s">
        <v>590</v>
      </c>
      <c r="B84" s="5" t="s">
        <v>591</v>
      </c>
      <c r="C84" s="5" t="s">
        <v>592</v>
      </c>
      <c r="D84" s="5" t="s">
        <v>592</v>
      </c>
      <c r="E84" s="5" t="s">
        <v>547</v>
      </c>
      <c r="F84" s="5" t="s">
        <v>166</v>
      </c>
      <c r="G84" s="5" t="s">
        <v>166</v>
      </c>
      <c r="H84" s="5" t="s">
        <v>46</v>
      </c>
      <c r="I84" s="5" t="s">
        <v>135</v>
      </c>
      <c r="J84" s="5" t="s">
        <v>95</v>
      </c>
      <c r="K84" s="5" t="s">
        <v>43</v>
      </c>
      <c r="L84" s="5" t="s">
        <v>98</v>
      </c>
      <c r="M84" s="5" t="s">
        <v>99</v>
      </c>
      <c r="N84" s="5" t="s">
        <v>46</v>
      </c>
      <c r="O84" s="5" t="s">
        <v>593</v>
      </c>
      <c r="P84" s="5" t="s">
        <v>594</v>
      </c>
      <c r="Q84" s="5"/>
      <c r="R84" s="5" t="s">
        <v>595</v>
      </c>
      <c r="S84" s="5"/>
      <c r="T84" s="5"/>
      <c r="U84" s="5"/>
      <c r="V84" s="5" t="s">
        <v>50</v>
      </c>
      <c r="W84" s="5" t="s">
        <v>50</v>
      </c>
      <c r="X84" s="5" t="s">
        <v>51</v>
      </c>
      <c r="Y84" s="5" t="s">
        <v>551</v>
      </c>
      <c r="Z84" s="5" t="s">
        <v>552</v>
      </c>
    </row>
    <row r="85" customFormat="false" ht="15" hidden="false" customHeight="false" outlineLevel="0" collapsed="false">
      <c r="A85" s="5" t="s">
        <v>596</v>
      </c>
      <c r="B85" s="5" t="s">
        <v>597</v>
      </c>
      <c r="C85" s="5" t="s">
        <v>416</v>
      </c>
      <c r="D85" s="5" t="s">
        <v>416</v>
      </c>
      <c r="E85" s="5" t="s">
        <v>547</v>
      </c>
      <c r="F85" s="5" t="s">
        <v>166</v>
      </c>
      <c r="G85" s="5" t="s">
        <v>166</v>
      </c>
      <c r="H85" s="5" t="s">
        <v>46</v>
      </c>
      <c r="I85" s="5" t="s">
        <v>135</v>
      </c>
      <c r="J85" s="5" t="s">
        <v>417</v>
      </c>
      <c r="K85" s="5" t="s">
        <v>43</v>
      </c>
      <c r="L85" s="5" t="s">
        <v>59</v>
      </c>
      <c r="M85" s="5" t="s">
        <v>418</v>
      </c>
      <c r="N85" s="5" t="s">
        <v>46</v>
      </c>
      <c r="O85" s="5" t="s">
        <v>598</v>
      </c>
      <c r="P85" s="5" t="s">
        <v>599</v>
      </c>
      <c r="Q85" s="5"/>
      <c r="R85" s="5" t="s">
        <v>600</v>
      </c>
      <c r="S85" s="5"/>
      <c r="T85" s="5"/>
      <c r="U85" s="5"/>
      <c r="V85" s="5" t="s">
        <v>50</v>
      </c>
      <c r="W85" s="5" t="s">
        <v>50</v>
      </c>
      <c r="X85" s="5" t="s">
        <v>51</v>
      </c>
      <c r="Y85" s="5" t="s">
        <v>551</v>
      </c>
      <c r="Z85" s="5" t="s">
        <v>552</v>
      </c>
    </row>
    <row r="86" customFormat="false" ht="15" hidden="false" customHeight="false" outlineLevel="0" collapsed="false">
      <c r="A86" s="5" t="s">
        <v>601</v>
      </c>
      <c r="B86" s="5" t="s">
        <v>602</v>
      </c>
      <c r="C86" s="5" t="s">
        <v>603</v>
      </c>
      <c r="D86" s="5" t="s">
        <v>603</v>
      </c>
      <c r="E86" s="5" t="s">
        <v>547</v>
      </c>
      <c r="F86" s="5" t="s">
        <v>166</v>
      </c>
      <c r="G86" s="5" t="s">
        <v>166</v>
      </c>
      <c r="H86" s="5" t="s">
        <v>46</v>
      </c>
      <c r="I86" s="5" t="s">
        <v>135</v>
      </c>
      <c r="J86" s="5" t="s">
        <v>417</v>
      </c>
      <c r="K86" s="5" t="s">
        <v>43</v>
      </c>
      <c r="L86" s="5" t="s">
        <v>59</v>
      </c>
      <c r="M86" s="5" t="s">
        <v>418</v>
      </c>
      <c r="N86" s="5" t="s">
        <v>46</v>
      </c>
      <c r="O86" s="5" t="s">
        <v>604</v>
      </c>
      <c r="P86" s="5" t="s">
        <v>605</v>
      </c>
      <c r="Q86" s="5"/>
      <c r="R86" s="5" t="s">
        <v>606</v>
      </c>
      <c r="S86" s="5"/>
      <c r="T86" s="5"/>
      <c r="U86" s="5"/>
      <c r="V86" s="5" t="s">
        <v>50</v>
      </c>
      <c r="W86" s="5" t="s">
        <v>50</v>
      </c>
      <c r="X86" s="5" t="s">
        <v>51</v>
      </c>
      <c r="Y86" s="5" t="s">
        <v>551</v>
      </c>
      <c r="Z86" s="5" t="s">
        <v>552</v>
      </c>
    </row>
    <row r="87" customFormat="false" ht="15" hidden="false" customHeight="false" outlineLevel="0" collapsed="false">
      <c r="A87" s="5" t="s">
        <v>607</v>
      </c>
      <c r="B87" s="5" t="s">
        <v>608</v>
      </c>
      <c r="C87" s="5" t="s">
        <v>521</v>
      </c>
      <c r="D87" s="5" t="s">
        <v>521</v>
      </c>
      <c r="E87" s="5" t="s">
        <v>547</v>
      </c>
      <c r="F87" s="5" t="s">
        <v>166</v>
      </c>
      <c r="G87" s="5" t="s">
        <v>166</v>
      </c>
      <c r="H87" s="5" t="s">
        <v>46</v>
      </c>
      <c r="I87" s="5" t="s">
        <v>135</v>
      </c>
      <c r="J87" s="5" t="s">
        <v>417</v>
      </c>
      <c r="K87" s="5" t="s">
        <v>43</v>
      </c>
      <c r="L87" s="5" t="s">
        <v>59</v>
      </c>
      <c r="M87" s="5" t="s">
        <v>418</v>
      </c>
      <c r="N87" s="5" t="s">
        <v>46</v>
      </c>
      <c r="O87" s="5" t="s">
        <v>609</v>
      </c>
      <c r="P87" s="5" t="s">
        <v>610</v>
      </c>
      <c r="Q87" s="5"/>
      <c r="R87" s="5" t="s">
        <v>611</v>
      </c>
      <c r="S87" s="5"/>
      <c r="T87" s="5"/>
      <c r="U87" s="5"/>
      <c r="V87" s="5" t="s">
        <v>50</v>
      </c>
      <c r="W87" s="5" t="s">
        <v>50</v>
      </c>
      <c r="X87" s="5" t="s">
        <v>51</v>
      </c>
      <c r="Y87" s="5" t="s">
        <v>551</v>
      </c>
      <c r="Z87" s="5" t="s">
        <v>552</v>
      </c>
    </row>
    <row r="88" customFormat="false" ht="15" hidden="false" customHeight="false" outlineLevel="0" collapsed="false">
      <c r="A88" s="5" t="s">
        <v>612</v>
      </c>
      <c r="B88" s="5" t="s">
        <v>613</v>
      </c>
      <c r="C88" s="5" t="s">
        <v>614</v>
      </c>
      <c r="D88" s="5" t="s">
        <v>614</v>
      </c>
      <c r="E88" s="5" t="s">
        <v>547</v>
      </c>
      <c r="F88" s="5" t="s">
        <v>166</v>
      </c>
      <c r="G88" s="5" t="s">
        <v>166</v>
      </c>
      <c r="H88" s="5" t="s">
        <v>46</v>
      </c>
      <c r="I88" s="5" t="s">
        <v>135</v>
      </c>
      <c r="J88" s="5" t="s">
        <v>42</v>
      </c>
      <c r="K88" s="5" t="s">
        <v>43</v>
      </c>
      <c r="L88" s="5" t="s">
        <v>44</v>
      </c>
      <c r="M88" s="5" t="s">
        <v>45</v>
      </c>
      <c r="N88" s="5" t="s">
        <v>46</v>
      </c>
      <c r="O88" s="5" t="s">
        <v>615</v>
      </c>
      <c r="P88" s="5" t="s">
        <v>616</v>
      </c>
      <c r="Q88" s="5"/>
      <c r="R88" s="5" t="s">
        <v>617</v>
      </c>
      <c r="S88" s="5"/>
      <c r="T88" s="5"/>
      <c r="U88" s="5"/>
      <c r="V88" s="5" t="s">
        <v>50</v>
      </c>
      <c r="W88" s="5" t="s">
        <v>50</v>
      </c>
      <c r="X88" s="5" t="s">
        <v>51</v>
      </c>
      <c r="Y88" s="5" t="s">
        <v>551</v>
      </c>
      <c r="Z88" s="5" t="s">
        <v>552</v>
      </c>
    </row>
    <row r="89" customFormat="false" ht="15" hidden="false" customHeight="false" outlineLevel="0" collapsed="false">
      <c r="A89" s="5" t="s">
        <v>618</v>
      </c>
      <c r="B89" s="5" t="s">
        <v>619</v>
      </c>
      <c r="C89" s="5" t="s">
        <v>620</v>
      </c>
      <c r="D89" s="5" t="s">
        <v>620</v>
      </c>
      <c r="E89" s="5" t="s">
        <v>547</v>
      </c>
      <c r="F89" s="5" t="s">
        <v>166</v>
      </c>
      <c r="G89" s="5" t="s">
        <v>166</v>
      </c>
      <c r="H89" s="5" t="s">
        <v>46</v>
      </c>
      <c r="I89" s="5" t="s">
        <v>135</v>
      </c>
      <c r="J89" s="5" t="s">
        <v>58</v>
      </c>
      <c r="K89" s="5" t="s">
        <v>43</v>
      </c>
      <c r="L89" s="5" t="s">
        <v>59</v>
      </c>
      <c r="M89" s="5" t="s">
        <v>60</v>
      </c>
      <c r="N89" s="5" t="s">
        <v>46</v>
      </c>
      <c r="O89" s="5" t="s">
        <v>621</v>
      </c>
      <c r="P89" s="5" t="s">
        <v>622</v>
      </c>
      <c r="Q89" s="5"/>
      <c r="R89" s="5" t="s">
        <v>623</v>
      </c>
      <c r="S89" s="5"/>
      <c r="T89" s="5"/>
      <c r="U89" s="5"/>
      <c r="V89" s="5" t="s">
        <v>50</v>
      </c>
      <c r="W89" s="5" t="s">
        <v>50</v>
      </c>
      <c r="X89" s="5" t="s">
        <v>51</v>
      </c>
      <c r="Y89" s="5" t="s">
        <v>551</v>
      </c>
      <c r="Z89" s="5" t="s">
        <v>552</v>
      </c>
    </row>
    <row r="90" customFormat="false" ht="15" hidden="false" customHeight="false" outlineLevel="0" collapsed="false">
      <c r="A90" s="5" t="s">
        <v>624</v>
      </c>
      <c r="B90" s="5" t="s">
        <v>625</v>
      </c>
      <c r="C90" s="5" t="s">
        <v>463</v>
      </c>
      <c r="D90" s="5" t="s">
        <v>463</v>
      </c>
      <c r="E90" s="5" t="s">
        <v>547</v>
      </c>
      <c r="F90" s="5" t="s">
        <v>166</v>
      </c>
      <c r="G90" s="5" t="s">
        <v>166</v>
      </c>
      <c r="H90" s="5" t="s">
        <v>46</v>
      </c>
      <c r="I90" s="5" t="s">
        <v>135</v>
      </c>
      <c r="J90" s="5" t="s">
        <v>110</v>
      </c>
      <c r="K90" s="5" t="s">
        <v>43</v>
      </c>
      <c r="L90" s="5" t="s">
        <v>59</v>
      </c>
      <c r="M90" s="5" t="s">
        <v>111</v>
      </c>
      <c r="N90" s="5" t="s">
        <v>46</v>
      </c>
      <c r="O90" s="5" t="s">
        <v>626</v>
      </c>
      <c r="P90" s="5" t="s">
        <v>627</v>
      </c>
      <c r="Q90" s="5"/>
      <c r="R90" s="5" t="s">
        <v>628</v>
      </c>
      <c r="S90" s="5"/>
      <c r="T90" s="5"/>
      <c r="U90" s="5"/>
      <c r="V90" s="5" t="s">
        <v>50</v>
      </c>
      <c r="W90" s="5" t="s">
        <v>50</v>
      </c>
      <c r="X90" s="5" t="s">
        <v>51</v>
      </c>
      <c r="Y90" s="5" t="s">
        <v>551</v>
      </c>
      <c r="Z90" s="5" t="s">
        <v>552</v>
      </c>
    </row>
    <row r="91" customFormat="false" ht="15" hidden="false" customHeight="false" outlineLevel="0" collapsed="false">
      <c r="A91" s="5" t="s">
        <v>629</v>
      </c>
      <c r="B91" s="5" t="s">
        <v>630</v>
      </c>
      <c r="C91" s="5" t="s">
        <v>280</v>
      </c>
      <c r="D91" s="5" t="s">
        <v>280</v>
      </c>
      <c r="E91" s="5" t="s">
        <v>547</v>
      </c>
      <c r="F91" s="5" t="s">
        <v>166</v>
      </c>
      <c r="G91" s="5" t="s">
        <v>166</v>
      </c>
      <c r="H91" s="5" t="s">
        <v>46</v>
      </c>
      <c r="I91" s="5" t="s">
        <v>135</v>
      </c>
      <c r="J91" s="5" t="s">
        <v>58</v>
      </c>
      <c r="K91" s="5" t="s">
        <v>43</v>
      </c>
      <c r="L91" s="5" t="s">
        <v>59</v>
      </c>
      <c r="M91" s="5" t="s">
        <v>60</v>
      </c>
      <c r="N91" s="5" t="s">
        <v>46</v>
      </c>
      <c r="O91" s="5" t="s">
        <v>631</v>
      </c>
      <c r="P91" s="5" t="s">
        <v>632</v>
      </c>
      <c r="Q91" s="5"/>
      <c r="R91" s="5" t="s">
        <v>633</v>
      </c>
      <c r="S91" s="5"/>
      <c r="T91" s="5"/>
      <c r="U91" s="5"/>
      <c r="V91" s="5" t="s">
        <v>50</v>
      </c>
      <c r="W91" s="5" t="s">
        <v>50</v>
      </c>
      <c r="X91" s="5" t="s">
        <v>51</v>
      </c>
      <c r="Y91" s="5" t="s">
        <v>551</v>
      </c>
      <c r="Z91" s="5" t="s">
        <v>552</v>
      </c>
    </row>
    <row r="92" customFormat="false" ht="15" hidden="false" customHeight="false" outlineLevel="0" collapsed="false">
      <c r="A92" s="5" t="s">
        <v>634</v>
      </c>
      <c r="B92" s="5" t="s">
        <v>635</v>
      </c>
      <c r="C92" s="5" t="s">
        <v>311</v>
      </c>
      <c r="D92" s="5" t="s">
        <v>311</v>
      </c>
      <c r="E92" s="5" t="s">
        <v>547</v>
      </c>
      <c r="F92" s="5" t="s">
        <v>166</v>
      </c>
      <c r="G92" s="5" t="s">
        <v>166</v>
      </c>
      <c r="H92" s="5" t="s">
        <v>46</v>
      </c>
      <c r="I92" s="5" t="s">
        <v>135</v>
      </c>
      <c r="J92" s="5" t="s">
        <v>95</v>
      </c>
      <c r="K92" s="5" t="s">
        <v>43</v>
      </c>
      <c r="L92" s="5" t="s">
        <v>98</v>
      </c>
      <c r="M92" s="5" t="s">
        <v>99</v>
      </c>
      <c r="N92" s="5" t="s">
        <v>46</v>
      </c>
      <c r="O92" s="5" t="s">
        <v>636</v>
      </c>
      <c r="P92" s="5" t="s">
        <v>637</v>
      </c>
      <c r="Q92" s="5"/>
      <c r="R92" s="5" t="s">
        <v>558</v>
      </c>
      <c r="S92" s="5"/>
      <c r="T92" s="5"/>
      <c r="U92" s="5"/>
      <c r="V92" s="5" t="s">
        <v>50</v>
      </c>
      <c r="W92" s="5" t="s">
        <v>50</v>
      </c>
      <c r="X92" s="5" t="s">
        <v>51</v>
      </c>
      <c r="Y92" s="5" t="s">
        <v>551</v>
      </c>
      <c r="Z92" s="5" t="s">
        <v>552</v>
      </c>
    </row>
    <row r="93" customFormat="false" ht="15" hidden="false" customHeight="false" outlineLevel="0" collapsed="false">
      <c r="A93" s="5" t="s">
        <v>638</v>
      </c>
      <c r="B93" s="5" t="s">
        <v>639</v>
      </c>
      <c r="C93" s="5" t="s">
        <v>640</v>
      </c>
      <c r="D93" s="5" t="s">
        <v>640</v>
      </c>
      <c r="E93" s="5" t="s">
        <v>547</v>
      </c>
      <c r="F93" s="5" t="s">
        <v>166</v>
      </c>
      <c r="G93" s="5" t="s">
        <v>166</v>
      </c>
      <c r="H93" s="5" t="s">
        <v>46</v>
      </c>
      <c r="I93" s="5" t="s">
        <v>135</v>
      </c>
      <c r="J93" s="5" t="s">
        <v>122</v>
      </c>
      <c r="K93" s="5" t="s">
        <v>75</v>
      </c>
      <c r="L93" s="5" t="s">
        <v>76</v>
      </c>
      <c r="M93" s="5"/>
      <c r="N93" s="5" t="s">
        <v>40</v>
      </c>
      <c r="O93" s="5" t="s">
        <v>641</v>
      </c>
      <c r="P93" s="5" t="s">
        <v>642</v>
      </c>
      <c r="Q93" s="5"/>
      <c r="R93" s="5" t="s">
        <v>643</v>
      </c>
      <c r="S93" s="5"/>
      <c r="T93" s="5"/>
      <c r="U93" s="5"/>
      <c r="V93" s="5" t="s">
        <v>50</v>
      </c>
      <c r="W93" s="5" t="s">
        <v>50</v>
      </c>
      <c r="X93" s="5" t="s">
        <v>51</v>
      </c>
      <c r="Y93" s="5" t="s">
        <v>551</v>
      </c>
      <c r="Z93" s="5" t="s">
        <v>552</v>
      </c>
    </row>
    <row r="94" customFormat="false" ht="15" hidden="false" customHeight="false" outlineLevel="0" collapsed="false">
      <c r="A94" s="5" t="s">
        <v>644</v>
      </c>
      <c r="B94" s="5" t="s">
        <v>645</v>
      </c>
      <c r="C94" s="5" t="s">
        <v>164</v>
      </c>
      <c r="D94" s="5" t="s">
        <v>164</v>
      </c>
      <c r="E94" s="5" t="s">
        <v>547</v>
      </c>
      <c r="F94" s="5" t="s">
        <v>166</v>
      </c>
      <c r="G94" s="5" t="s">
        <v>166</v>
      </c>
      <c r="H94" s="5" t="s">
        <v>46</v>
      </c>
      <c r="I94" s="5" t="s">
        <v>135</v>
      </c>
      <c r="J94" s="5" t="s">
        <v>167</v>
      </c>
      <c r="K94" s="5" t="s">
        <v>75</v>
      </c>
      <c r="L94" s="5" t="s">
        <v>76</v>
      </c>
      <c r="M94" s="5"/>
      <c r="N94" s="5" t="s">
        <v>40</v>
      </c>
      <c r="O94" s="5" t="s">
        <v>646</v>
      </c>
      <c r="P94" s="5" t="s">
        <v>647</v>
      </c>
      <c r="Q94" s="5"/>
      <c r="R94" s="5" t="s">
        <v>648</v>
      </c>
      <c r="S94" s="5"/>
      <c r="T94" s="5"/>
      <c r="U94" s="5"/>
      <c r="V94" s="5" t="s">
        <v>50</v>
      </c>
      <c r="W94" s="5" t="s">
        <v>50</v>
      </c>
      <c r="X94" s="5" t="s">
        <v>51</v>
      </c>
      <c r="Y94" s="5" t="s">
        <v>551</v>
      </c>
      <c r="Z94" s="5" t="s">
        <v>552</v>
      </c>
    </row>
    <row r="95" customFormat="false" ht="15" hidden="false" customHeight="false" outlineLevel="0" collapsed="false">
      <c r="A95" s="5" t="s">
        <v>649</v>
      </c>
      <c r="B95" s="5" t="s">
        <v>650</v>
      </c>
      <c r="C95" s="5" t="s">
        <v>651</v>
      </c>
      <c r="D95" s="5" t="s">
        <v>651</v>
      </c>
      <c r="E95" s="5" t="s">
        <v>547</v>
      </c>
      <c r="F95" s="5" t="s">
        <v>166</v>
      </c>
      <c r="G95" s="5" t="s">
        <v>166</v>
      </c>
      <c r="H95" s="5" t="s">
        <v>46</v>
      </c>
      <c r="I95" s="5" t="s">
        <v>135</v>
      </c>
      <c r="J95" s="5" t="s">
        <v>58</v>
      </c>
      <c r="K95" s="5" t="s">
        <v>43</v>
      </c>
      <c r="L95" s="5" t="s">
        <v>59</v>
      </c>
      <c r="M95" s="5" t="s">
        <v>60</v>
      </c>
      <c r="N95" s="5" t="s">
        <v>46</v>
      </c>
      <c r="O95" s="5" t="s">
        <v>652</v>
      </c>
      <c r="P95" s="5" t="s">
        <v>653</v>
      </c>
      <c r="Q95" s="5"/>
      <c r="R95" s="5" t="s">
        <v>654</v>
      </c>
      <c r="S95" s="5"/>
      <c r="T95" s="5"/>
      <c r="U95" s="5"/>
      <c r="V95" s="5" t="s">
        <v>50</v>
      </c>
      <c r="W95" s="5" t="s">
        <v>50</v>
      </c>
      <c r="X95" s="5" t="s">
        <v>51</v>
      </c>
      <c r="Y95" s="5" t="s">
        <v>551</v>
      </c>
      <c r="Z95" s="5" t="s">
        <v>552</v>
      </c>
    </row>
    <row r="96" customFormat="false" ht="15" hidden="false" customHeight="false" outlineLevel="0" collapsed="false">
      <c r="A96" s="5" t="s">
        <v>655</v>
      </c>
      <c r="B96" s="5" t="s">
        <v>656</v>
      </c>
      <c r="C96" s="5" t="s">
        <v>469</v>
      </c>
      <c r="D96" s="5" t="s">
        <v>469</v>
      </c>
      <c r="E96" s="5" t="s">
        <v>547</v>
      </c>
      <c r="F96" s="5" t="s">
        <v>166</v>
      </c>
      <c r="G96" s="5" t="s">
        <v>166</v>
      </c>
      <c r="H96" s="5" t="s">
        <v>46</v>
      </c>
      <c r="I96" s="5" t="s">
        <v>135</v>
      </c>
      <c r="J96" s="5" t="s">
        <v>42</v>
      </c>
      <c r="K96" s="5" t="s">
        <v>43</v>
      </c>
      <c r="L96" s="5" t="s">
        <v>44</v>
      </c>
      <c r="M96" s="5" t="s">
        <v>45</v>
      </c>
      <c r="N96" s="5" t="s">
        <v>46</v>
      </c>
      <c r="O96" s="5" t="s">
        <v>657</v>
      </c>
      <c r="P96" s="5" t="s">
        <v>658</v>
      </c>
      <c r="Q96" s="5"/>
      <c r="R96" s="5" t="s">
        <v>659</v>
      </c>
      <c r="S96" s="5"/>
      <c r="T96" s="5"/>
      <c r="U96" s="5"/>
      <c r="V96" s="5" t="s">
        <v>50</v>
      </c>
      <c r="W96" s="5" t="s">
        <v>50</v>
      </c>
      <c r="X96" s="5" t="s">
        <v>51</v>
      </c>
      <c r="Y96" s="5" t="s">
        <v>551</v>
      </c>
      <c r="Z96" s="5" t="s">
        <v>552</v>
      </c>
    </row>
    <row r="97" customFormat="false" ht="15" hidden="false" customHeight="false" outlineLevel="0" collapsed="false">
      <c r="A97" s="5" t="s">
        <v>660</v>
      </c>
      <c r="B97" s="5" t="s">
        <v>661</v>
      </c>
      <c r="C97" s="5" t="s">
        <v>177</v>
      </c>
      <c r="D97" s="5" t="s">
        <v>177</v>
      </c>
      <c r="E97" s="5" t="s">
        <v>547</v>
      </c>
      <c r="F97" s="5" t="s">
        <v>166</v>
      </c>
      <c r="G97" s="5" t="s">
        <v>166</v>
      </c>
      <c r="H97" s="5" t="s">
        <v>46</v>
      </c>
      <c r="I97" s="5" t="s">
        <v>135</v>
      </c>
      <c r="J97" s="5" t="s">
        <v>110</v>
      </c>
      <c r="K97" s="5" t="s">
        <v>43</v>
      </c>
      <c r="L97" s="5" t="s">
        <v>59</v>
      </c>
      <c r="M97" s="5" t="s">
        <v>111</v>
      </c>
      <c r="N97" s="5" t="s">
        <v>46</v>
      </c>
      <c r="O97" s="5" t="s">
        <v>662</v>
      </c>
      <c r="P97" s="5" t="s">
        <v>663</v>
      </c>
      <c r="Q97" s="5"/>
      <c r="R97" s="5" t="s">
        <v>628</v>
      </c>
      <c r="S97" s="5"/>
      <c r="T97" s="5"/>
      <c r="U97" s="5"/>
      <c r="V97" s="5" t="s">
        <v>50</v>
      </c>
      <c r="W97" s="5" t="s">
        <v>50</v>
      </c>
      <c r="X97" s="5" t="s">
        <v>51</v>
      </c>
      <c r="Y97" s="5" t="s">
        <v>551</v>
      </c>
      <c r="Z97" s="5" t="s">
        <v>552</v>
      </c>
    </row>
    <row r="98" customFormat="false" ht="15" hidden="false" customHeight="false" outlineLevel="0" collapsed="false">
      <c r="A98" s="5" t="s">
        <v>664</v>
      </c>
      <c r="B98" s="5" t="s">
        <v>665</v>
      </c>
      <c r="C98" s="5" t="s">
        <v>372</v>
      </c>
      <c r="D98" s="5" t="s">
        <v>372</v>
      </c>
      <c r="E98" s="5" t="s">
        <v>547</v>
      </c>
      <c r="F98" s="5" t="s">
        <v>166</v>
      </c>
      <c r="G98" s="5" t="s">
        <v>166</v>
      </c>
      <c r="H98" s="5" t="s">
        <v>46</v>
      </c>
      <c r="I98" s="5" t="s">
        <v>135</v>
      </c>
      <c r="J98" s="5" t="s">
        <v>110</v>
      </c>
      <c r="K98" s="5" t="s">
        <v>43</v>
      </c>
      <c r="L98" s="5" t="s">
        <v>59</v>
      </c>
      <c r="M98" s="5" t="s">
        <v>111</v>
      </c>
      <c r="N98" s="5" t="s">
        <v>46</v>
      </c>
      <c r="O98" s="5" t="s">
        <v>666</v>
      </c>
      <c r="P98" s="5" t="s">
        <v>667</v>
      </c>
      <c r="Q98" s="5"/>
      <c r="R98" s="5" t="s">
        <v>628</v>
      </c>
      <c r="S98" s="5"/>
      <c r="T98" s="5"/>
      <c r="U98" s="5"/>
      <c r="V98" s="5" t="s">
        <v>50</v>
      </c>
      <c r="W98" s="5" t="s">
        <v>50</v>
      </c>
      <c r="X98" s="5" t="s">
        <v>51</v>
      </c>
      <c r="Y98" s="5" t="s">
        <v>551</v>
      </c>
      <c r="Z98" s="5" t="s">
        <v>552</v>
      </c>
    </row>
    <row r="99" customFormat="false" ht="15" hidden="false" customHeight="false" outlineLevel="0" collapsed="false">
      <c r="A99" s="5" t="s">
        <v>668</v>
      </c>
      <c r="B99" s="5" t="s">
        <v>669</v>
      </c>
      <c r="C99" s="5" t="s">
        <v>670</v>
      </c>
      <c r="D99" s="5" t="s">
        <v>670</v>
      </c>
      <c r="E99" s="5" t="s">
        <v>547</v>
      </c>
      <c r="F99" s="5" t="s">
        <v>166</v>
      </c>
      <c r="G99" s="5" t="s">
        <v>166</v>
      </c>
      <c r="H99" s="5" t="s">
        <v>46</v>
      </c>
      <c r="I99" s="5" t="s">
        <v>135</v>
      </c>
      <c r="J99" s="5" t="s">
        <v>95</v>
      </c>
      <c r="K99" s="5" t="s">
        <v>43</v>
      </c>
      <c r="L99" s="5" t="s">
        <v>98</v>
      </c>
      <c r="M99" s="5" t="s">
        <v>99</v>
      </c>
      <c r="N99" s="5" t="s">
        <v>46</v>
      </c>
      <c r="O99" s="5" t="s">
        <v>671</v>
      </c>
      <c r="P99" s="5" t="s">
        <v>672</v>
      </c>
      <c r="Q99" s="5"/>
      <c r="R99" s="5" t="s">
        <v>595</v>
      </c>
      <c r="S99" s="5"/>
      <c r="T99" s="5"/>
      <c r="U99" s="5"/>
      <c r="V99" s="5" t="s">
        <v>50</v>
      </c>
      <c r="W99" s="5" t="s">
        <v>50</v>
      </c>
      <c r="X99" s="5" t="s">
        <v>51</v>
      </c>
      <c r="Y99" s="5" t="s">
        <v>551</v>
      </c>
      <c r="Z99" s="5" t="s">
        <v>552</v>
      </c>
    </row>
    <row r="100" customFormat="false" ht="15" hidden="false" customHeight="false" outlineLevel="0" collapsed="false">
      <c r="A100" s="6" t="s">
        <v>673</v>
      </c>
      <c r="B100" s="6" t="s">
        <v>674</v>
      </c>
      <c r="C100" s="6" t="s">
        <v>603</v>
      </c>
      <c r="D100" s="6" t="s">
        <v>603</v>
      </c>
      <c r="E100" s="6" t="s">
        <v>236</v>
      </c>
      <c r="F100" s="6"/>
      <c r="G100" s="6" t="s">
        <v>188</v>
      </c>
      <c r="H100" s="6" t="s">
        <v>187</v>
      </c>
      <c r="I100" s="6" t="s">
        <v>135</v>
      </c>
      <c r="J100" s="6" t="s">
        <v>417</v>
      </c>
      <c r="K100" s="6" t="s">
        <v>43</v>
      </c>
      <c r="L100" s="6" t="s">
        <v>59</v>
      </c>
      <c r="M100" s="6" t="s">
        <v>418</v>
      </c>
      <c r="N100" s="6" t="s">
        <v>46</v>
      </c>
      <c r="O100" s="6" t="s">
        <v>675</v>
      </c>
      <c r="P100" s="6" t="s">
        <v>676</v>
      </c>
      <c r="Q100" s="6" t="s">
        <v>677</v>
      </c>
      <c r="R100" s="6" t="s">
        <v>422</v>
      </c>
      <c r="S100" s="6"/>
      <c r="T100" s="6"/>
      <c r="U100" s="6" t="s">
        <v>678</v>
      </c>
      <c r="V100" s="6" t="s">
        <v>50</v>
      </c>
      <c r="W100" s="6" t="s">
        <v>50</v>
      </c>
      <c r="X100" s="6" t="s">
        <v>51</v>
      </c>
      <c r="Y100" s="6" t="s">
        <v>173</v>
      </c>
      <c r="Z100" s="6" t="s">
        <v>194</v>
      </c>
    </row>
    <row r="101" customFormat="false" ht="15" hidden="false" customHeight="false" outlineLevel="0" collapsed="false">
      <c r="A101" s="3" t="s">
        <v>679</v>
      </c>
      <c r="B101" s="3" t="s">
        <v>680</v>
      </c>
      <c r="C101" s="3" t="s">
        <v>681</v>
      </c>
      <c r="D101" s="3"/>
      <c r="E101" s="3" t="s">
        <v>682</v>
      </c>
      <c r="F101" s="3" t="s">
        <v>89</v>
      </c>
      <c r="G101" s="3" t="s">
        <v>89</v>
      </c>
      <c r="H101" s="3" t="s">
        <v>40</v>
      </c>
      <c r="I101" s="3" t="s">
        <v>683</v>
      </c>
      <c r="J101" s="3" t="s">
        <v>684</v>
      </c>
      <c r="K101" s="3" t="s">
        <v>75</v>
      </c>
      <c r="L101" s="3" t="s">
        <v>76</v>
      </c>
      <c r="M101" s="3"/>
      <c r="N101" s="3" t="s">
        <v>40</v>
      </c>
      <c r="O101" s="3" t="s">
        <v>685</v>
      </c>
      <c r="P101" s="3" t="s">
        <v>686</v>
      </c>
      <c r="Q101" s="3"/>
      <c r="R101" s="3" t="s">
        <v>687</v>
      </c>
      <c r="S101" s="3"/>
      <c r="T101" s="3"/>
      <c r="U101" s="3"/>
      <c r="V101" s="3" t="s">
        <v>50</v>
      </c>
      <c r="W101" s="3" t="s">
        <v>50</v>
      </c>
      <c r="X101" s="3" t="s">
        <v>688</v>
      </c>
      <c r="Y101" s="3" t="s">
        <v>689</v>
      </c>
      <c r="Z101" s="3" t="s">
        <v>690</v>
      </c>
    </row>
    <row r="102" customFormat="false" ht="15" hidden="false" customHeight="false" outlineLevel="0" collapsed="false">
      <c r="A102" s="3" t="s">
        <v>691</v>
      </c>
      <c r="B102" s="3" t="s">
        <v>692</v>
      </c>
      <c r="C102" s="3" t="s">
        <v>693</v>
      </c>
      <c r="D102" s="3"/>
      <c r="E102" s="3" t="s">
        <v>694</v>
      </c>
      <c r="F102" s="3" t="s">
        <v>695</v>
      </c>
      <c r="G102" s="3" t="s">
        <v>695</v>
      </c>
      <c r="H102" s="3" t="s">
        <v>40</v>
      </c>
      <c r="I102" s="3" t="s">
        <v>683</v>
      </c>
      <c r="J102" s="3" t="s">
        <v>684</v>
      </c>
      <c r="K102" s="3" t="s">
        <v>75</v>
      </c>
      <c r="L102" s="3" t="s">
        <v>76</v>
      </c>
      <c r="M102" s="3"/>
      <c r="N102" s="3" t="s">
        <v>40</v>
      </c>
      <c r="O102" s="3" t="s">
        <v>696</v>
      </c>
      <c r="P102" s="3" t="s">
        <v>697</v>
      </c>
      <c r="Q102" s="3"/>
      <c r="R102" s="3" t="s">
        <v>687</v>
      </c>
      <c r="S102" s="3"/>
      <c r="T102" s="3"/>
      <c r="U102" s="3"/>
      <c r="V102" s="3" t="s">
        <v>50</v>
      </c>
      <c r="W102" s="3" t="s">
        <v>50</v>
      </c>
      <c r="X102" s="3" t="s">
        <v>688</v>
      </c>
      <c r="Y102" s="3" t="s">
        <v>689</v>
      </c>
      <c r="Z102" s="3" t="s">
        <v>690</v>
      </c>
    </row>
    <row r="103" customFormat="false" ht="15" hidden="false" customHeight="false" outlineLevel="0" collapsed="false">
      <c r="A103" s="3" t="s">
        <v>698</v>
      </c>
      <c r="B103" s="3" t="s">
        <v>699</v>
      </c>
      <c r="C103" s="3" t="s">
        <v>700</v>
      </c>
      <c r="D103" s="3"/>
      <c r="E103" s="3" t="s">
        <v>105</v>
      </c>
      <c r="F103" s="3" t="s">
        <v>89</v>
      </c>
      <c r="G103" s="3" t="s">
        <v>89</v>
      </c>
      <c r="H103" s="3" t="s">
        <v>40</v>
      </c>
      <c r="I103" s="3" t="s">
        <v>683</v>
      </c>
      <c r="J103" s="3" t="s">
        <v>684</v>
      </c>
      <c r="K103" s="3" t="s">
        <v>75</v>
      </c>
      <c r="L103" s="3" t="s">
        <v>76</v>
      </c>
      <c r="M103" s="3"/>
      <c r="N103" s="3" t="s">
        <v>40</v>
      </c>
      <c r="O103" s="3" t="s">
        <v>701</v>
      </c>
      <c r="P103" s="3" t="s">
        <v>702</v>
      </c>
      <c r="Q103" s="3"/>
      <c r="R103" s="3" t="s">
        <v>687</v>
      </c>
      <c r="S103" s="3"/>
      <c r="T103" s="3"/>
      <c r="U103" s="3"/>
      <c r="V103" s="3" t="s">
        <v>50</v>
      </c>
      <c r="W103" s="3" t="s">
        <v>50</v>
      </c>
      <c r="X103" s="3" t="s">
        <v>688</v>
      </c>
      <c r="Y103" s="3" t="s">
        <v>689</v>
      </c>
      <c r="Z103" s="3" t="s">
        <v>690</v>
      </c>
    </row>
    <row r="104" customFormat="false" ht="15" hidden="false" customHeight="false" outlineLevel="0" collapsed="false">
      <c r="A104" s="3" t="s">
        <v>703</v>
      </c>
      <c r="B104" s="3" t="s">
        <v>704</v>
      </c>
      <c r="C104" s="3" t="s">
        <v>705</v>
      </c>
      <c r="D104" s="3"/>
      <c r="E104" s="3" t="s">
        <v>706</v>
      </c>
      <c r="F104" s="3" t="s">
        <v>89</v>
      </c>
      <c r="G104" s="3" t="s">
        <v>89</v>
      </c>
      <c r="H104" s="3" t="s">
        <v>40</v>
      </c>
      <c r="I104" s="3" t="s">
        <v>683</v>
      </c>
      <c r="J104" s="3" t="s">
        <v>684</v>
      </c>
      <c r="K104" s="3" t="s">
        <v>75</v>
      </c>
      <c r="L104" s="3" t="s">
        <v>76</v>
      </c>
      <c r="M104" s="3"/>
      <c r="N104" s="3" t="s">
        <v>40</v>
      </c>
      <c r="O104" s="3" t="s">
        <v>707</v>
      </c>
      <c r="P104" s="3" t="s">
        <v>708</v>
      </c>
      <c r="Q104" s="3"/>
      <c r="R104" s="3" t="s">
        <v>687</v>
      </c>
      <c r="S104" s="3"/>
      <c r="T104" s="3"/>
      <c r="U104" s="3"/>
      <c r="V104" s="3" t="s">
        <v>50</v>
      </c>
      <c r="W104" s="3" t="s">
        <v>50</v>
      </c>
      <c r="X104" s="3" t="s">
        <v>688</v>
      </c>
      <c r="Y104" s="3" t="s">
        <v>689</v>
      </c>
      <c r="Z104" s="3" t="s">
        <v>690</v>
      </c>
    </row>
    <row r="105" customFormat="false" ht="15" hidden="false" customHeight="false" outlineLevel="0" collapsed="false">
      <c r="A105" s="3" t="s">
        <v>709</v>
      </c>
      <c r="B105" s="3" t="s">
        <v>710</v>
      </c>
      <c r="C105" s="3" t="s">
        <v>711</v>
      </c>
      <c r="D105" s="3"/>
      <c r="E105" s="3" t="s">
        <v>712</v>
      </c>
      <c r="F105" s="3" t="s">
        <v>89</v>
      </c>
      <c r="G105" s="3" t="s">
        <v>89</v>
      </c>
      <c r="H105" s="3" t="s">
        <v>40</v>
      </c>
      <c r="I105" s="3" t="s">
        <v>683</v>
      </c>
      <c r="J105" s="3" t="s">
        <v>684</v>
      </c>
      <c r="K105" s="3" t="s">
        <v>75</v>
      </c>
      <c r="L105" s="3" t="s">
        <v>76</v>
      </c>
      <c r="M105" s="3"/>
      <c r="N105" s="3" t="s">
        <v>40</v>
      </c>
      <c r="O105" s="3" t="s">
        <v>713</v>
      </c>
      <c r="P105" s="3" t="s">
        <v>714</v>
      </c>
      <c r="Q105" s="3"/>
      <c r="R105" s="3" t="s">
        <v>687</v>
      </c>
      <c r="S105" s="3"/>
      <c r="T105" s="3"/>
      <c r="U105" s="3"/>
      <c r="V105" s="3" t="s">
        <v>50</v>
      </c>
      <c r="W105" s="3" t="s">
        <v>50</v>
      </c>
      <c r="X105" s="3" t="s">
        <v>688</v>
      </c>
      <c r="Y105" s="3" t="s">
        <v>689</v>
      </c>
      <c r="Z105" s="3" t="s">
        <v>690</v>
      </c>
    </row>
    <row r="106" customFormat="false" ht="15" hidden="false" customHeight="false" outlineLevel="0" collapsed="false">
      <c r="A106" s="3" t="s">
        <v>715</v>
      </c>
      <c r="B106" s="3" t="s">
        <v>716</v>
      </c>
      <c r="C106" s="3" t="s">
        <v>717</v>
      </c>
      <c r="D106" s="3"/>
      <c r="E106" s="3" t="s">
        <v>718</v>
      </c>
      <c r="F106" s="3" t="s">
        <v>719</v>
      </c>
      <c r="G106" s="3" t="s">
        <v>719</v>
      </c>
      <c r="H106" s="3" t="s">
        <v>40</v>
      </c>
      <c r="I106" s="3" t="s">
        <v>683</v>
      </c>
      <c r="J106" s="3" t="s">
        <v>684</v>
      </c>
      <c r="K106" s="3" t="s">
        <v>75</v>
      </c>
      <c r="L106" s="3" t="s">
        <v>76</v>
      </c>
      <c r="M106" s="3"/>
      <c r="N106" s="3" t="s">
        <v>40</v>
      </c>
      <c r="O106" s="3" t="s">
        <v>720</v>
      </c>
      <c r="P106" s="3" t="s">
        <v>721</v>
      </c>
      <c r="Q106" s="3"/>
      <c r="R106" s="3" t="s">
        <v>687</v>
      </c>
      <c r="S106" s="3"/>
      <c r="T106" s="3"/>
      <c r="U106" s="3"/>
      <c r="V106" s="3" t="s">
        <v>50</v>
      </c>
      <c r="W106" s="3" t="s">
        <v>50</v>
      </c>
      <c r="X106" s="3" t="s">
        <v>688</v>
      </c>
      <c r="Y106" s="3" t="s">
        <v>689</v>
      </c>
      <c r="Z106" s="3" t="s">
        <v>690</v>
      </c>
    </row>
    <row r="107" customFormat="false" ht="15" hidden="false" customHeight="false" outlineLevel="0" collapsed="false">
      <c r="A107" s="3" t="s">
        <v>722</v>
      </c>
      <c r="B107" s="3" t="s">
        <v>723</v>
      </c>
      <c r="C107" s="3" t="s">
        <v>724</v>
      </c>
      <c r="D107" s="3"/>
      <c r="E107" s="3" t="s">
        <v>725</v>
      </c>
      <c r="F107" s="3" t="s">
        <v>39</v>
      </c>
      <c r="G107" s="3" t="s">
        <v>39</v>
      </c>
      <c r="H107" s="3" t="s">
        <v>40</v>
      </c>
      <c r="I107" s="3" t="s">
        <v>683</v>
      </c>
      <c r="J107" s="3" t="s">
        <v>684</v>
      </c>
      <c r="K107" s="3" t="s">
        <v>75</v>
      </c>
      <c r="L107" s="3" t="s">
        <v>76</v>
      </c>
      <c r="M107" s="3"/>
      <c r="N107" s="3" t="s">
        <v>40</v>
      </c>
      <c r="O107" s="3" t="s">
        <v>726</v>
      </c>
      <c r="P107" s="3" t="s">
        <v>727</v>
      </c>
      <c r="Q107" s="3"/>
      <c r="R107" s="3" t="s">
        <v>687</v>
      </c>
      <c r="S107" s="3"/>
      <c r="T107" s="3"/>
      <c r="U107" s="3"/>
      <c r="V107" s="3" t="s">
        <v>50</v>
      </c>
      <c r="W107" s="3" t="s">
        <v>50</v>
      </c>
      <c r="X107" s="3" t="s">
        <v>688</v>
      </c>
      <c r="Y107" s="3" t="s">
        <v>689</v>
      </c>
      <c r="Z107" s="3" t="s">
        <v>690</v>
      </c>
    </row>
    <row r="108" customFormat="false" ht="15" hidden="false" customHeight="false" outlineLevel="0" collapsed="false">
      <c r="A108" s="3" t="s">
        <v>728</v>
      </c>
      <c r="B108" s="3" t="s">
        <v>729</v>
      </c>
      <c r="C108" s="3" t="s">
        <v>730</v>
      </c>
      <c r="D108" s="3"/>
      <c r="E108" s="3" t="s">
        <v>731</v>
      </c>
      <c r="F108" s="3" t="s">
        <v>89</v>
      </c>
      <c r="G108" s="3" t="s">
        <v>89</v>
      </c>
      <c r="H108" s="3" t="s">
        <v>40</v>
      </c>
      <c r="I108" s="3" t="s">
        <v>683</v>
      </c>
      <c r="J108" s="3" t="s">
        <v>732</v>
      </c>
      <c r="K108" s="3" t="s">
        <v>75</v>
      </c>
      <c r="L108" s="3" t="s">
        <v>76</v>
      </c>
      <c r="M108" s="3"/>
      <c r="N108" s="3" t="s">
        <v>40</v>
      </c>
      <c r="O108" s="3" t="s">
        <v>733</v>
      </c>
      <c r="P108" s="3" t="s">
        <v>734</v>
      </c>
      <c r="Q108" s="3"/>
      <c r="R108" s="3" t="s">
        <v>735</v>
      </c>
      <c r="S108" s="3"/>
      <c r="T108" s="3"/>
      <c r="U108" s="3"/>
      <c r="V108" s="3" t="s">
        <v>50</v>
      </c>
      <c r="W108" s="3" t="s">
        <v>50</v>
      </c>
      <c r="X108" s="3" t="s">
        <v>688</v>
      </c>
      <c r="Y108" s="3" t="s">
        <v>689</v>
      </c>
      <c r="Z108" s="3" t="s">
        <v>690</v>
      </c>
    </row>
    <row r="109" customFormat="false" ht="15" hidden="false" customHeight="false" outlineLevel="0" collapsed="false">
      <c r="A109" s="5" t="s">
        <v>736</v>
      </c>
      <c r="B109" s="5" t="s">
        <v>737</v>
      </c>
      <c r="C109" s="5" t="s">
        <v>738</v>
      </c>
      <c r="D109" s="5"/>
      <c r="E109" s="5" t="s">
        <v>739</v>
      </c>
      <c r="F109" s="5" t="s">
        <v>166</v>
      </c>
      <c r="G109" s="5" t="s">
        <v>166</v>
      </c>
      <c r="H109" s="5" t="s">
        <v>46</v>
      </c>
      <c r="I109" s="5" t="s">
        <v>683</v>
      </c>
      <c r="J109" s="5" t="s">
        <v>732</v>
      </c>
      <c r="K109" s="5" t="s">
        <v>75</v>
      </c>
      <c r="L109" s="5" t="s">
        <v>76</v>
      </c>
      <c r="M109" s="5"/>
      <c r="N109" s="5" t="s">
        <v>40</v>
      </c>
      <c r="O109" s="5" t="s">
        <v>740</v>
      </c>
      <c r="P109" s="5" t="s">
        <v>741</v>
      </c>
      <c r="Q109" s="5"/>
      <c r="R109" s="5" t="s">
        <v>735</v>
      </c>
      <c r="S109" s="5"/>
      <c r="T109" s="5"/>
      <c r="U109" s="5"/>
      <c r="V109" s="5" t="s">
        <v>50</v>
      </c>
      <c r="W109" s="5" t="s">
        <v>50</v>
      </c>
      <c r="X109" s="5" t="s">
        <v>688</v>
      </c>
      <c r="Y109" s="5" t="s">
        <v>689</v>
      </c>
      <c r="Z109" s="5" t="s">
        <v>690</v>
      </c>
    </row>
    <row r="110" customFormat="false" ht="15" hidden="false" customHeight="false" outlineLevel="0" collapsed="false">
      <c r="A110" s="3" t="s">
        <v>742</v>
      </c>
      <c r="B110" s="3" t="s">
        <v>743</v>
      </c>
      <c r="C110" s="3" t="s">
        <v>744</v>
      </c>
      <c r="D110" s="3"/>
      <c r="E110" s="3" t="s">
        <v>745</v>
      </c>
      <c r="F110" s="3" t="s">
        <v>89</v>
      </c>
      <c r="G110" s="3" t="s">
        <v>89</v>
      </c>
      <c r="H110" s="3" t="s">
        <v>40</v>
      </c>
      <c r="I110" s="3" t="s">
        <v>683</v>
      </c>
      <c r="J110" s="3" t="s">
        <v>732</v>
      </c>
      <c r="K110" s="3" t="s">
        <v>75</v>
      </c>
      <c r="L110" s="3" t="s">
        <v>76</v>
      </c>
      <c r="M110" s="3"/>
      <c r="N110" s="3" t="s">
        <v>40</v>
      </c>
      <c r="O110" s="3" t="s">
        <v>746</v>
      </c>
      <c r="P110" s="3" t="s">
        <v>747</v>
      </c>
      <c r="Q110" s="3"/>
      <c r="R110" s="3" t="s">
        <v>735</v>
      </c>
      <c r="S110" s="3"/>
      <c r="T110" s="3"/>
      <c r="U110" s="3"/>
      <c r="V110" s="3" t="s">
        <v>50</v>
      </c>
      <c r="W110" s="3" t="s">
        <v>50</v>
      </c>
      <c r="X110" s="3" t="s">
        <v>688</v>
      </c>
      <c r="Y110" s="3" t="s">
        <v>689</v>
      </c>
      <c r="Z110" s="3" t="s">
        <v>690</v>
      </c>
    </row>
    <row r="111" customFormat="false" ht="15" hidden="false" customHeight="false" outlineLevel="0" collapsed="false">
      <c r="A111" s="3" t="s">
        <v>748</v>
      </c>
      <c r="B111" s="3" t="s">
        <v>749</v>
      </c>
      <c r="C111" s="3" t="s">
        <v>750</v>
      </c>
      <c r="D111" s="3"/>
      <c r="E111" s="3" t="s">
        <v>751</v>
      </c>
      <c r="F111" s="3" t="s">
        <v>752</v>
      </c>
      <c r="G111" s="3" t="s">
        <v>752</v>
      </c>
      <c r="H111" s="3" t="s">
        <v>40</v>
      </c>
      <c r="I111" s="3" t="s">
        <v>683</v>
      </c>
      <c r="J111" s="3" t="s">
        <v>65</v>
      </c>
      <c r="K111" s="3" t="s">
        <v>43</v>
      </c>
      <c r="L111" s="3" t="s">
        <v>59</v>
      </c>
      <c r="M111" s="3"/>
      <c r="N111" s="3" t="s">
        <v>46</v>
      </c>
      <c r="O111" s="3" t="s">
        <v>753</v>
      </c>
      <c r="P111" s="3" t="s">
        <v>754</v>
      </c>
      <c r="Q111" s="3"/>
      <c r="R111" s="3" t="s">
        <v>70</v>
      </c>
      <c r="S111" s="3"/>
      <c r="T111" s="3"/>
      <c r="U111" s="3"/>
      <c r="V111" s="3" t="s">
        <v>50</v>
      </c>
      <c r="W111" s="3" t="s">
        <v>50</v>
      </c>
      <c r="X111" s="3" t="s">
        <v>688</v>
      </c>
      <c r="Y111" s="3" t="s">
        <v>689</v>
      </c>
      <c r="Z111" s="3" t="s">
        <v>690</v>
      </c>
    </row>
    <row r="112" customFormat="false" ht="15" hidden="false" customHeight="false" outlineLevel="0" collapsed="false">
      <c r="A112" s="3" t="s">
        <v>755</v>
      </c>
      <c r="B112" s="3" t="s">
        <v>756</v>
      </c>
      <c r="C112" s="3" t="s">
        <v>757</v>
      </c>
      <c r="D112" s="3"/>
      <c r="E112" s="3" t="s">
        <v>758</v>
      </c>
      <c r="F112" s="3" t="s">
        <v>89</v>
      </c>
      <c r="G112" s="3" t="s">
        <v>89</v>
      </c>
      <c r="H112" s="3" t="s">
        <v>40</v>
      </c>
      <c r="I112" s="3" t="s">
        <v>683</v>
      </c>
      <c r="J112" s="3" t="s">
        <v>65</v>
      </c>
      <c r="K112" s="3" t="s">
        <v>43</v>
      </c>
      <c r="L112" s="3" t="s">
        <v>59</v>
      </c>
      <c r="M112" s="3"/>
      <c r="N112" s="3" t="s">
        <v>46</v>
      </c>
      <c r="O112" s="3" t="s">
        <v>759</v>
      </c>
      <c r="P112" s="3" t="s">
        <v>760</v>
      </c>
      <c r="Q112" s="3"/>
      <c r="R112" s="3" t="s">
        <v>70</v>
      </c>
      <c r="S112" s="3"/>
      <c r="T112" s="3"/>
      <c r="U112" s="3"/>
      <c r="V112" s="3" t="s">
        <v>50</v>
      </c>
      <c r="W112" s="3" t="s">
        <v>50</v>
      </c>
      <c r="X112" s="3" t="s">
        <v>688</v>
      </c>
      <c r="Y112" s="3" t="s">
        <v>689</v>
      </c>
      <c r="Z112" s="3" t="s">
        <v>690</v>
      </c>
    </row>
    <row r="113" customFormat="false" ht="15" hidden="false" customHeight="false" outlineLevel="0" collapsed="false">
      <c r="A113" s="3" t="s">
        <v>761</v>
      </c>
      <c r="B113" s="3" t="s">
        <v>762</v>
      </c>
      <c r="C113" s="3" t="s">
        <v>763</v>
      </c>
      <c r="D113" s="3"/>
      <c r="E113" s="3" t="s">
        <v>764</v>
      </c>
      <c r="F113" s="3" t="s">
        <v>57</v>
      </c>
      <c r="G113" s="3" t="s">
        <v>57</v>
      </c>
      <c r="H113" s="3" t="s">
        <v>40</v>
      </c>
      <c r="I113" s="3" t="s">
        <v>683</v>
      </c>
      <c r="J113" s="3" t="s">
        <v>65</v>
      </c>
      <c r="K113" s="3" t="s">
        <v>43</v>
      </c>
      <c r="L113" s="3" t="s">
        <v>59</v>
      </c>
      <c r="M113" s="3"/>
      <c r="N113" s="3" t="s">
        <v>46</v>
      </c>
      <c r="O113" s="3" t="s">
        <v>765</v>
      </c>
      <c r="P113" s="3" t="s">
        <v>766</v>
      </c>
      <c r="Q113" s="3"/>
      <c r="R113" s="3" t="s">
        <v>70</v>
      </c>
      <c r="S113" s="3"/>
      <c r="T113" s="3"/>
      <c r="U113" s="3"/>
      <c r="V113" s="3" t="s">
        <v>50</v>
      </c>
      <c r="W113" s="3" t="s">
        <v>50</v>
      </c>
      <c r="X113" s="3" t="s">
        <v>688</v>
      </c>
      <c r="Y113" s="3" t="s">
        <v>689</v>
      </c>
      <c r="Z113" s="3" t="s">
        <v>690</v>
      </c>
    </row>
    <row r="114" customFormat="false" ht="15" hidden="false" customHeight="false" outlineLevel="0" collapsed="false">
      <c r="A114" s="3" t="s">
        <v>767</v>
      </c>
      <c r="B114" s="3" t="s">
        <v>768</v>
      </c>
      <c r="C114" s="3" t="s">
        <v>769</v>
      </c>
      <c r="D114" s="3"/>
      <c r="E114" s="3" t="s">
        <v>770</v>
      </c>
      <c r="F114" s="3" t="s">
        <v>771</v>
      </c>
      <c r="G114" s="3" t="s">
        <v>771</v>
      </c>
      <c r="H114" s="3" t="s">
        <v>40</v>
      </c>
      <c r="I114" s="3" t="s">
        <v>683</v>
      </c>
      <c r="J114" s="3" t="s">
        <v>65</v>
      </c>
      <c r="K114" s="3" t="s">
        <v>43</v>
      </c>
      <c r="L114" s="3" t="s">
        <v>59</v>
      </c>
      <c r="M114" s="3"/>
      <c r="N114" s="3" t="s">
        <v>46</v>
      </c>
      <c r="O114" s="3" t="s">
        <v>772</v>
      </c>
      <c r="P114" s="3" t="s">
        <v>773</v>
      </c>
      <c r="Q114" s="3"/>
      <c r="R114" s="3" t="s">
        <v>70</v>
      </c>
      <c r="S114" s="3"/>
      <c r="T114" s="3"/>
      <c r="U114" s="3"/>
      <c r="V114" s="3" t="s">
        <v>50</v>
      </c>
      <c r="W114" s="3" t="s">
        <v>50</v>
      </c>
      <c r="X114" s="3" t="s">
        <v>688</v>
      </c>
      <c r="Y114" s="3" t="s">
        <v>689</v>
      </c>
      <c r="Z114" s="3" t="s">
        <v>690</v>
      </c>
    </row>
    <row r="115" customFormat="false" ht="15" hidden="false" customHeight="false" outlineLevel="0" collapsed="false">
      <c r="A115" s="3" t="s">
        <v>774</v>
      </c>
      <c r="B115" s="3" t="s">
        <v>775</v>
      </c>
      <c r="C115" s="3" t="s">
        <v>776</v>
      </c>
      <c r="D115" s="3"/>
      <c r="E115" s="3" t="s">
        <v>777</v>
      </c>
      <c r="F115" s="3" t="s">
        <v>778</v>
      </c>
      <c r="G115" s="3" t="s">
        <v>778</v>
      </c>
      <c r="H115" s="3" t="s">
        <v>40</v>
      </c>
      <c r="I115" s="3" t="s">
        <v>683</v>
      </c>
      <c r="J115" s="3" t="s">
        <v>65</v>
      </c>
      <c r="K115" s="3" t="s">
        <v>43</v>
      </c>
      <c r="L115" s="3" t="s">
        <v>59</v>
      </c>
      <c r="M115" s="3"/>
      <c r="N115" s="3" t="s">
        <v>46</v>
      </c>
      <c r="O115" s="3" t="s">
        <v>779</v>
      </c>
      <c r="P115" s="3" t="s">
        <v>780</v>
      </c>
      <c r="Q115" s="3"/>
      <c r="R115" s="3" t="s">
        <v>70</v>
      </c>
      <c r="S115" s="3"/>
      <c r="T115" s="3"/>
      <c r="U115" s="3"/>
      <c r="V115" s="3" t="s">
        <v>50</v>
      </c>
      <c r="W115" s="3" t="s">
        <v>50</v>
      </c>
      <c r="X115" s="3" t="s">
        <v>688</v>
      </c>
      <c r="Y115" s="3" t="s">
        <v>689</v>
      </c>
      <c r="Z115" s="3" t="s">
        <v>690</v>
      </c>
    </row>
    <row r="116" customFormat="false" ht="15" hidden="false" customHeight="false" outlineLevel="0" collapsed="false">
      <c r="A116" s="3" t="s">
        <v>781</v>
      </c>
      <c r="B116" s="3" t="s">
        <v>782</v>
      </c>
      <c r="C116" s="3" t="s">
        <v>783</v>
      </c>
      <c r="D116" s="3"/>
      <c r="E116" s="3" t="s">
        <v>783</v>
      </c>
      <c r="F116" s="3" t="s">
        <v>83</v>
      </c>
      <c r="G116" s="3" t="s">
        <v>83</v>
      </c>
      <c r="H116" s="3" t="s">
        <v>40</v>
      </c>
      <c r="I116" s="3" t="s">
        <v>683</v>
      </c>
      <c r="J116" s="3" t="s">
        <v>178</v>
      </c>
      <c r="K116" s="3" t="s">
        <v>179</v>
      </c>
      <c r="L116" s="3" t="s">
        <v>180</v>
      </c>
      <c r="M116" s="3"/>
      <c r="N116" s="3" t="s">
        <v>40</v>
      </c>
      <c r="O116" s="3" t="s">
        <v>784</v>
      </c>
      <c r="P116" s="3" t="s">
        <v>785</v>
      </c>
      <c r="Q116" s="3"/>
      <c r="R116" s="3"/>
      <c r="S116" s="3"/>
      <c r="T116" s="3"/>
      <c r="U116" s="3"/>
      <c r="V116" s="3" t="s">
        <v>50</v>
      </c>
      <c r="W116" s="3" t="s">
        <v>50</v>
      </c>
      <c r="X116" s="3" t="s">
        <v>688</v>
      </c>
      <c r="Y116" s="3" t="s">
        <v>689</v>
      </c>
      <c r="Z116" s="3" t="s">
        <v>690</v>
      </c>
    </row>
    <row r="117" customFormat="false" ht="15" hidden="false" customHeight="false" outlineLevel="0" collapsed="false">
      <c r="A117" s="3" t="s">
        <v>786</v>
      </c>
      <c r="B117" s="3" t="s">
        <v>787</v>
      </c>
      <c r="C117" s="3" t="s">
        <v>788</v>
      </c>
      <c r="D117" s="3"/>
      <c r="E117" s="3" t="s">
        <v>789</v>
      </c>
      <c r="F117" s="3" t="s">
        <v>790</v>
      </c>
      <c r="G117" s="3" t="s">
        <v>790</v>
      </c>
      <c r="H117" s="3" t="s">
        <v>40</v>
      </c>
      <c r="I117" s="3" t="s">
        <v>683</v>
      </c>
      <c r="J117" s="3" t="s">
        <v>122</v>
      </c>
      <c r="K117" s="3" t="s">
        <v>75</v>
      </c>
      <c r="L117" s="3" t="s">
        <v>76</v>
      </c>
      <c r="M117" s="3"/>
      <c r="N117" s="3" t="s">
        <v>40</v>
      </c>
      <c r="O117" s="3" t="s">
        <v>791</v>
      </c>
      <c r="P117" s="3" t="s">
        <v>792</v>
      </c>
      <c r="Q117" s="3"/>
      <c r="R117" s="3" t="s">
        <v>126</v>
      </c>
      <c r="S117" s="3"/>
      <c r="T117" s="3"/>
      <c r="U117" s="3"/>
      <c r="V117" s="3" t="s">
        <v>50</v>
      </c>
      <c r="W117" s="3" t="s">
        <v>50</v>
      </c>
      <c r="X117" s="3" t="s">
        <v>688</v>
      </c>
      <c r="Y117" s="3" t="s">
        <v>689</v>
      </c>
      <c r="Z117" s="3" t="s">
        <v>690</v>
      </c>
    </row>
    <row r="118" customFormat="false" ht="15" hidden="false" customHeight="false" outlineLevel="0" collapsed="false">
      <c r="A118" s="3" t="s">
        <v>793</v>
      </c>
      <c r="B118" s="3" t="s">
        <v>794</v>
      </c>
      <c r="C118" s="3" t="s">
        <v>795</v>
      </c>
      <c r="D118" s="3"/>
      <c r="E118" s="3" t="s">
        <v>796</v>
      </c>
      <c r="F118" s="3" t="s">
        <v>89</v>
      </c>
      <c r="G118" s="3" t="s">
        <v>89</v>
      </c>
      <c r="H118" s="3" t="s">
        <v>40</v>
      </c>
      <c r="I118" s="3" t="s">
        <v>683</v>
      </c>
      <c r="J118" s="3" t="s">
        <v>122</v>
      </c>
      <c r="K118" s="3" t="s">
        <v>75</v>
      </c>
      <c r="L118" s="3" t="s">
        <v>76</v>
      </c>
      <c r="M118" s="3"/>
      <c r="N118" s="3" t="s">
        <v>40</v>
      </c>
      <c r="O118" s="3" t="s">
        <v>797</v>
      </c>
      <c r="P118" s="3" t="s">
        <v>798</v>
      </c>
      <c r="Q118" s="3"/>
      <c r="R118" s="3" t="s">
        <v>126</v>
      </c>
      <c r="S118" s="3"/>
      <c r="T118" s="3"/>
      <c r="U118" s="3"/>
      <c r="V118" s="3" t="s">
        <v>50</v>
      </c>
      <c r="W118" s="3" t="s">
        <v>50</v>
      </c>
      <c r="X118" s="3" t="s">
        <v>688</v>
      </c>
      <c r="Y118" s="3" t="s">
        <v>689</v>
      </c>
      <c r="Z118" s="3" t="s">
        <v>690</v>
      </c>
    </row>
    <row r="119" customFormat="false" ht="15" hidden="false" customHeight="false" outlineLevel="0" collapsed="false">
      <c r="A119" s="3" t="s">
        <v>799</v>
      </c>
      <c r="B119" s="3" t="s">
        <v>800</v>
      </c>
      <c r="C119" s="3" t="s">
        <v>801</v>
      </c>
      <c r="D119" s="3"/>
      <c r="E119" s="3" t="s">
        <v>802</v>
      </c>
      <c r="F119" s="3" t="s">
        <v>803</v>
      </c>
      <c r="G119" s="3" t="s">
        <v>803</v>
      </c>
      <c r="H119" s="3" t="s">
        <v>40</v>
      </c>
      <c r="I119" s="3" t="s">
        <v>683</v>
      </c>
      <c r="J119" s="3" t="s">
        <v>74</v>
      </c>
      <c r="K119" s="3" t="s">
        <v>75</v>
      </c>
      <c r="L119" s="3" t="s">
        <v>76</v>
      </c>
      <c r="M119" s="3"/>
      <c r="N119" s="3" t="s">
        <v>40</v>
      </c>
      <c r="O119" s="3" t="s">
        <v>804</v>
      </c>
      <c r="P119" s="3" t="s">
        <v>805</v>
      </c>
      <c r="Q119" s="3"/>
      <c r="R119" s="3" t="s">
        <v>79</v>
      </c>
      <c r="S119" s="3"/>
      <c r="T119" s="3"/>
      <c r="U119" s="3"/>
      <c r="V119" s="3" t="s">
        <v>50</v>
      </c>
      <c r="W119" s="3" t="s">
        <v>50</v>
      </c>
      <c r="X119" s="3" t="s">
        <v>688</v>
      </c>
      <c r="Y119" s="3" t="s">
        <v>689</v>
      </c>
      <c r="Z119" s="3" t="s">
        <v>690</v>
      </c>
    </row>
    <row r="120" customFormat="false" ht="15" hidden="false" customHeight="false" outlineLevel="0" collapsed="false">
      <c r="A120" s="3" t="s">
        <v>806</v>
      </c>
      <c r="B120" s="3" t="s">
        <v>807</v>
      </c>
      <c r="C120" s="3" t="s">
        <v>808</v>
      </c>
      <c r="D120" s="3"/>
      <c r="E120" s="3" t="s">
        <v>809</v>
      </c>
      <c r="F120" s="3" t="s">
        <v>89</v>
      </c>
      <c r="G120" s="3" t="s">
        <v>89</v>
      </c>
      <c r="H120" s="3" t="s">
        <v>40</v>
      </c>
      <c r="I120" s="3" t="s">
        <v>683</v>
      </c>
      <c r="J120" s="3" t="s">
        <v>74</v>
      </c>
      <c r="K120" s="3" t="s">
        <v>75</v>
      </c>
      <c r="L120" s="3" t="s">
        <v>76</v>
      </c>
      <c r="M120" s="3"/>
      <c r="N120" s="3" t="s">
        <v>40</v>
      </c>
      <c r="O120" s="3" t="s">
        <v>810</v>
      </c>
      <c r="P120" s="3" t="s">
        <v>811</v>
      </c>
      <c r="Q120" s="3"/>
      <c r="R120" s="3" t="s">
        <v>79</v>
      </c>
      <c r="S120" s="3"/>
      <c r="T120" s="3"/>
      <c r="U120" s="3"/>
      <c r="V120" s="3" t="s">
        <v>50</v>
      </c>
      <c r="W120" s="3" t="s">
        <v>50</v>
      </c>
      <c r="X120" s="3" t="s">
        <v>688</v>
      </c>
      <c r="Y120" s="3" t="s">
        <v>689</v>
      </c>
      <c r="Z120" s="3" t="s">
        <v>690</v>
      </c>
    </row>
    <row r="121" customFormat="false" ht="15" hidden="false" customHeight="false" outlineLevel="0" collapsed="false">
      <c r="A121" s="3" t="s">
        <v>812</v>
      </c>
      <c r="B121" s="3" t="s">
        <v>813</v>
      </c>
      <c r="C121" s="3" t="s">
        <v>814</v>
      </c>
      <c r="D121" s="3"/>
      <c r="E121" s="3" t="s">
        <v>815</v>
      </c>
      <c r="F121" s="3" t="s">
        <v>89</v>
      </c>
      <c r="G121" s="3" t="s">
        <v>89</v>
      </c>
      <c r="H121" s="3" t="s">
        <v>40</v>
      </c>
      <c r="I121" s="3" t="s">
        <v>683</v>
      </c>
      <c r="J121" s="3" t="s">
        <v>74</v>
      </c>
      <c r="K121" s="3" t="s">
        <v>75</v>
      </c>
      <c r="L121" s="3" t="s">
        <v>76</v>
      </c>
      <c r="M121" s="3"/>
      <c r="N121" s="3" t="s">
        <v>40</v>
      </c>
      <c r="O121" s="3" t="s">
        <v>816</v>
      </c>
      <c r="P121" s="3" t="s">
        <v>817</v>
      </c>
      <c r="Q121" s="3"/>
      <c r="R121" s="3" t="s">
        <v>79</v>
      </c>
      <c r="S121" s="3"/>
      <c r="T121" s="3"/>
      <c r="U121" s="3"/>
      <c r="V121" s="3" t="s">
        <v>50</v>
      </c>
      <c r="W121" s="3" t="s">
        <v>50</v>
      </c>
      <c r="X121" s="3" t="s">
        <v>688</v>
      </c>
      <c r="Y121" s="3" t="s">
        <v>689</v>
      </c>
      <c r="Z121" s="3" t="s">
        <v>690</v>
      </c>
    </row>
    <row r="122" customFormat="false" ht="15" hidden="false" customHeight="false" outlineLevel="0" collapsed="false">
      <c r="A122" s="3" t="s">
        <v>818</v>
      </c>
      <c r="B122" s="3" t="s">
        <v>819</v>
      </c>
      <c r="C122" s="3" t="s">
        <v>820</v>
      </c>
      <c r="D122" s="3"/>
      <c r="E122" s="3" t="s">
        <v>821</v>
      </c>
      <c r="F122" s="3" t="s">
        <v>822</v>
      </c>
      <c r="G122" s="3" t="s">
        <v>822</v>
      </c>
      <c r="H122" s="3" t="s">
        <v>40</v>
      </c>
      <c r="I122" s="3" t="s">
        <v>683</v>
      </c>
      <c r="J122" s="3" t="s">
        <v>74</v>
      </c>
      <c r="K122" s="3" t="s">
        <v>75</v>
      </c>
      <c r="L122" s="3" t="s">
        <v>76</v>
      </c>
      <c r="M122" s="3"/>
      <c r="N122" s="3" t="s">
        <v>40</v>
      </c>
      <c r="O122" s="3" t="s">
        <v>823</v>
      </c>
      <c r="P122" s="3" t="s">
        <v>824</v>
      </c>
      <c r="Q122" s="3"/>
      <c r="R122" s="3" t="s">
        <v>79</v>
      </c>
      <c r="S122" s="3"/>
      <c r="T122" s="3"/>
      <c r="U122" s="3"/>
      <c r="V122" s="3" t="s">
        <v>50</v>
      </c>
      <c r="W122" s="3" t="s">
        <v>50</v>
      </c>
      <c r="X122" s="3" t="s">
        <v>688</v>
      </c>
      <c r="Y122" s="3" t="s">
        <v>689</v>
      </c>
      <c r="Z122" s="3" t="s">
        <v>690</v>
      </c>
    </row>
    <row r="123" customFormat="false" ht="15" hidden="false" customHeight="false" outlineLevel="0" collapsed="false">
      <c r="A123" s="3" t="s">
        <v>825</v>
      </c>
      <c r="B123" s="3" t="s">
        <v>826</v>
      </c>
      <c r="C123" s="3" t="s">
        <v>827</v>
      </c>
      <c r="D123" s="3"/>
      <c r="E123" s="3" t="s">
        <v>828</v>
      </c>
      <c r="F123" s="3" t="s">
        <v>67</v>
      </c>
      <c r="G123" s="3" t="s">
        <v>67</v>
      </c>
      <c r="H123" s="3" t="s">
        <v>40</v>
      </c>
      <c r="I123" s="3" t="s">
        <v>683</v>
      </c>
      <c r="J123" s="3" t="s">
        <v>74</v>
      </c>
      <c r="K123" s="3" t="s">
        <v>75</v>
      </c>
      <c r="L123" s="3" t="s">
        <v>76</v>
      </c>
      <c r="M123" s="3"/>
      <c r="N123" s="3" t="s">
        <v>40</v>
      </c>
      <c r="O123" s="3" t="s">
        <v>829</v>
      </c>
      <c r="P123" s="3" t="s">
        <v>830</v>
      </c>
      <c r="Q123" s="3"/>
      <c r="R123" s="3" t="s">
        <v>79</v>
      </c>
      <c r="S123" s="3"/>
      <c r="T123" s="3"/>
      <c r="U123" s="3"/>
      <c r="V123" s="3" t="s">
        <v>50</v>
      </c>
      <c r="W123" s="3" t="s">
        <v>50</v>
      </c>
      <c r="X123" s="3" t="s">
        <v>688</v>
      </c>
      <c r="Y123" s="3" t="s">
        <v>689</v>
      </c>
      <c r="Z123" s="3" t="s">
        <v>690</v>
      </c>
    </row>
    <row r="124" customFormat="false" ht="15" hidden="false" customHeight="false" outlineLevel="0" collapsed="false">
      <c r="A124" s="3" t="s">
        <v>831</v>
      </c>
      <c r="B124" s="3" t="s">
        <v>832</v>
      </c>
      <c r="C124" s="3" t="s">
        <v>833</v>
      </c>
      <c r="D124" s="3"/>
      <c r="E124" s="3" t="s">
        <v>834</v>
      </c>
      <c r="F124" s="3" t="s">
        <v>57</v>
      </c>
      <c r="G124" s="3" t="s">
        <v>57</v>
      </c>
      <c r="H124" s="3" t="s">
        <v>40</v>
      </c>
      <c r="I124" s="3" t="s">
        <v>683</v>
      </c>
      <c r="J124" s="3" t="s">
        <v>74</v>
      </c>
      <c r="K124" s="3" t="s">
        <v>75</v>
      </c>
      <c r="L124" s="3" t="s">
        <v>76</v>
      </c>
      <c r="M124" s="3"/>
      <c r="N124" s="3" t="s">
        <v>40</v>
      </c>
      <c r="O124" s="3" t="s">
        <v>835</v>
      </c>
      <c r="P124" s="3" t="s">
        <v>836</v>
      </c>
      <c r="Q124" s="3"/>
      <c r="R124" s="3" t="s">
        <v>79</v>
      </c>
      <c r="S124" s="3"/>
      <c r="T124" s="3"/>
      <c r="U124" s="3"/>
      <c r="V124" s="3" t="s">
        <v>50</v>
      </c>
      <c r="W124" s="3" t="s">
        <v>50</v>
      </c>
      <c r="X124" s="3" t="s">
        <v>688</v>
      </c>
      <c r="Y124" s="3" t="s">
        <v>689</v>
      </c>
      <c r="Z124" s="3" t="s">
        <v>690</v>
      </c>
    </row>
    <row r="125" customFormat="false" ht="15" hidden="false" customHeight="false" outlineLevel="0" collapsed="false">
      <c r="A125" s="3" t="s">
        <v>837</v>
      </c>
      <c r="B125" s="3" t="s">
        <v>838</v>
      </c>
      <c r="C125" s="3" t="s">
        <v>839</v>
      </c>
      <c r="D125" s="3"/>
      <c r="E125" s="3" t="s">
        <v>840</v>
      </c>
      <c r="F125" s="3" t="s">
        <v>83</v>
      </c>
      <c r="G125" s="3" t="s">
        <v>83</v>
      </c>
      <c r="H125" s="3" t="s">
        <v>40</v>
      </c>
      <c r="I125" s="3" t="s">
        <v>683</v>
      </c>
      <c r="J125" s="3" t="s">
        <v>74</v>
      </c>
      <c r="K125" s="3" t="s">
        <v>75</v>
      </c>
      <c r="L125" s="3" t="s">
        <v>76</v>
      </c>
      <c r="M125" s="3"/>
      <c r="N125" s="3" t="s">
        <v>40</v>
      </c>
      <c r="O125" s="3" t="s">
        <v>841</v>
      </c>
      <c r="P125" s="3" t="s">
        <v>842</v>
      </c>
      <c r="Q125" s="3"/>
      <c r="R125" s="3" t="s">
        <v>79</v>
      </c>
      <c r="S125" s="3"/>
      <c r="T125" s="3"/>
      <c r="U125" s="3"/>
      <c r="V125" s="3" t="s">
        <v>50</v>
      </c>
      <c r="W125" s="3" t="s">
        <v>50</v>
      </c>
      <c r="X125" s="3" t="s">
        <v>688</v>
      </c>
      <c r="Y125" s="3" t="s">
        <v>689</v>
      </c>
      <c r="Z125" s="3" t="s">
        <v>690</v>
      </c>
    </row>
    <row r="126" customFormat="false" ht="15" hidden="false" customHeight="false" outlineLevel="0" collapsed="false">
      <c r="A126" s="3" t="s">
        <v>843</v>
      </c>
      <c r="B126" s="3" t="s">
        <v>844</v>
      </c>
      <c r="C126" s="3" t="s">
        <v>246</v>
      </c>
      <c r="D126" s="3"/>
      <c r="E126" s="3" t="s">
        <v>845</v>
      </c>
      <c r="F126" s="3" t="s">
        <v>89</v>
      </c>
      <c r="G126" s="3" t="s">
        <v>89</v>
      </c>
      <c r="H126" s="3" t="s">
        <v>40</v>
      </c>
      <c r="I126" s="3" t="s">
        <v>683</v>
      </c>
      <c r="J126" s="3" t="s">
        <v>74</v>
      </c>
      <c r="K126" s="3" t="s">
        <v>75</v>
      </c>
      <c r="L126" s="3" t="s">
        <v>76</v>
      </c>
      <c r="M126" s="3"/>
      <c r="N126" s="3" t="s">
        <v>40</v>
      </c>
      <c r="O126" s="3" t="s">
        <v>846</v>
      </c>
      <c r="P126" s="3" t="s">
        <v>847</v>
      </c>
      <c r="Q126" s="3"/>
      <c r="R126" s="3" t="s">
        <v>79</v>
      </c>
      <c r="S126" s="3"/>
      <c r="T126" s="3"/>
      <c r="U126" s="3"/>
      <c r="V126" s="3" t="s">
        <v>50</v>
      </c>
      <c r="W126" s="3" t="s">
        <v>50</v>
      </c>
      <c r="X126" s="3" t="s">
        <v>688</v>
      </c>
      <c r="Y126" s="3" t="s">
        <v>689</v>
      </c>
      <c r="Z126" s="3" t="s">
        <v>690</v>
      </c>
    </row>
    <row r="127" customFormat="false" ht="15" hidden="false" customHeight="false" outlineLevel="0" collapsed="false">
      <c r="A127" s="3" t="s">
        <v>848</v>
      </c>
      <c r="B127" s="3" t="s">
        <v>849</v>
      </c>
      <c r="C127" s="3" t="s">
        <v>850</v>
      </c>
      <c r="D127" s="3"/>
      <c r="E127" s="3" t="s">
        <v>851</v>
      </c>
      <c r="F127" s="3" t="s">
        <v>83</v>
      </c>
      <c r="G127" s="3" t="s">
        <v>83</v>
      </c>
      <c r="H127" s="3" t="s">
        <v>40</v>
      </c>
      <c r="I127" s="3" t="s">
        <v>683</v>
      </c>
      <c r="J127" s="3" t="s">
        <v>74</v>
      </c>
      <c r="K127" s="3" t="s">
        <v>75</v>
      </c>
      <c r="L127" s="3" t="s">
        <v>76</v>
      </c>
      <c r="M127" s="3"/>
      <c r="N127" s="3" t="s">
        <v>40</v>
      </c>
      <c r="O127" s="3" t="s">
        <v>852</v>
      </c>
      <c r="P127" s="3" t="s">
        <v>853</v>
      </c>
      <c r="Q127" s="3"/>
      <c r="R127" s="3" t="s">
        <v>79</v>
      </c>
      <c r="S127" s="3"/>
      <c r="T127" s="3"/>
      <c r="U127" s="3"/>
      <c r="V127" s="3" t="s">
        <v>50</v>
      </c>
      <c r="W127" s="3" t="s">
        <v>50</v>
      </c>
      <c r="X127" s="3" t="s">
        <v>688</v>
      </c>
      <c r="Y127" s="3" t="s">
        <v>689</v>
      </c>
      <c r="Z127" s="3" t="s">
        <v>690</v>
      </c>
    </row>
    <row r="128" customFormat="false" ht="15" hidden="false" customHeight="false" outlineLevel="0" collapsed="false">
      <c r="A128" s="3" t="s">
        <v>854</v>
      </c>
      <c r="B128" s="3" t="s">
        <v>855</v>
      </c>
      <c r="C128" s="3" t="s">
        <v>856</v>
      </c>
      <c r="D128" s="3"/>
      <c r="E128" s="3" t="s">
        <v>857</v>
      </c>
      <c r="F128" s="3" t="s">
        <v>89</v>
      </c>
      <c r="G128" s="3" t="s">
        <v>89</v>
      </c>
      <c r="H128" s="3" t="s">
        <v>40</v>
      </c>
      <c r="I128" s="3" t="s">
        <v>683</v>
      </c>
      <c r="J128" s="3" t="s">
        <v>74</v>
      </c>
      <c r="K128" s="3" t="s">
        <v>75</v>
      </c>
      <c r="L128" s="3" t="s">
        <v>76</v>
      </c>
      <c r="M128" s="3"/>
      <c r="N128" s="3" t="s">
        <v>40</v>
      </c>
      <c r="O128" s="3" t="s">
        <v>858</v>
      </c>
      <c r="P128" s="3" t="s">
        <v>859</v>
      </c>
      <c r="Q128" s="3"/>
      <c r="R128" s="3" t="s">
        <v>79</v>
      </c>
      <c r="S128" s="3"/>
      <c r="T128" s="3"/>
      <c r="U128" s="3"/>
      <c r="V128" s="3" t="s">
        <v>50</v>
      </c>
      <c r="W128" s="3" t="s">
        <v>50</v>
      </c>
      <c r="X128" s="3" t="s">
        <v>688</v>
      </c>
      <c r="Y128" s="3" t="s">
        <v>689</v>
      </c>
      <c r="Z128" s="3" t="s">
        <v>690</v>
      </c>
    </row>
    <row r="129" customFormat="false" ht="15" hidden="false" customHeight="false" outlineLevel="0" collapsed="false">
      <c r="A129" s="3" t="s">
        <v>860</v>
      </c>
      <c r="B129" s="3" t="s">
        <v>861</v>
      </c>
      <c r="C129" s="3" t="s">
        <v>862</v>
      </c>
      <c r="D129" s="3"/>
      <c r="E129" s="3" t="s">
        <v>863</v>
      </c>
      <c r="F129" s="3" t="s">
        <v>89</v>
      </c>
      <c r="G129" s="3" t="s">
        <v>89</v>
      </c>
      <c r="H129" s="3" t="s">
        <v>40</v>
      </c>
      <c r="I129" s="3" t="s">
        <v>683</v>
      </c>
      <c r="J129" s="3" t="s">
        <v>87</v>
      </c>
      <c r="K129" s="3" t="s">
        <v>75</v>
      </c>
      <c r="L129" s="3" t="s">
        <v>76</v>
      </c>
      <c r="M129" s="3" t="s">
        <v>90</v>
      </c>
      <c r="N129" s="3" t="s">
        <v>40</v>
      </c>
      <c r="O129" s="3" t="s">
        <v>864</v>
      </c>
      <c r="P129" s="3" t="s">
        <v>865</v>
      </c>
      <c r="Q129" s="3"/>
      <c r="R129" s="3" t="s">
        <v>93</v>
      </c>
      <c r="S129" s="3"/>
      <c r="T129" s="3"/>
      <c r="U129" s="3"/>
      <c r="V129" s="3" t="s">
        <v>50</v>
      </c>
      <c r="W129" s="3" t="s">
        <v>50</v>
      </c>
      <c r="X129" s="3" t="s">
        <v>688</v>
      </c>
      <c r="Y129" s="3" t="s">
        <v>689</v>
      </c>
      <c r="Z129" s="3" t="s">
        <v>690</v>
      </c>
    </row>
    <row r="130" customFormat="false" ht="15" hidden="false" customHeight="false" outlineLevel="0" collapsed="false">
      <c r="A130" s="5" t="s">
        <v>866</v>
      </c>
      <c r="B130" s="5" t="s">
        <v>867</v>
      </c>
      <c r="C130" s="5" t="s">
        <v>275</v>
      </c>
      <c r="D130" s="5"/>
      <c r="E130" s="5" t="s">
        <v>275</v>
      </c>
      <c r="F130" s="5" t="s">
        <v>166</v>
      </c>
      <c r="G130" s="5" t="s">
        <v>166</v>
      </c>
      <c r="H130" s="5" t="s">
        <v>46</v>
      </c>
      <c r="I130" s="5" t="s">
        <v>683</v>
      </c>
      <c r="J130" s="5" t="s">
        <v>87</v>
      </c>
      <c r="K130" s="5" t="s">
        <v>75</v>
      </c>
      <c r="L130" s="5" t="s">
        <v>76</v>
      </c>
      <c r="M130" s="5" t="s">
        <v>90</v>
      </c>
      <c r="N130" s="5" t="s">
        <v>40</v>
      </c>
      <c r="O130" s="5" t="s">
        <v>868</v>
      </c>
      <c r="P130" s="5" t="s">
        <v>869</v>
      </c>
      <c r="Q130" s="5"/>
      <c r="R130" s="5" t="s">
        <v>93</v>
      </c>
      <c r="S130" s="5"/>
      <c r="T130" s="5"/>
      <c r="U130" s="5"/>
      <c r="V130" s="5" t="s">
        <v>50</v>
      </c>
      <c r="W130" s="5" t="s">
        <v>50</v>
      </c>
      <c r="X130" s="5" t="s">
        <v>688</v>
      </c>
      <c r="Y130" s="5" t="s">
        <v>689</v>
      </c>
      <c r="Z130" s="5" t="s">
        <v>690</v>
      </c>
    </row>
    <row r="131" customFormat="false" ht="15" hidden="false" customHeight="false" outlineLevel="0" collapsed="false">
      <c r="A131" s="3" t="s">
        <v>870</v>
      </c>
      <c r="B131" s="3" t="s">
        <v>871</v>
      </c>
      <c r="C131" s="3" t="s">
        <v>872</v>
      </c>
      <c r="D131" s="3"/>
      <c r="E131" s="3" t="s">
        <v>873</v>
      </c>
      <c r="F131" s="3" t="s">
        <v>719</v>
      </c>
      <c r="G131" s="3" t="s">
        <v>719</v>
      </c>
      <c r="H131" s="3" t="s">
        <v>40</v>
      </c>
      <c r="I131" s="3" t="s">
        <v>683</v>
      </c>
      <c r="J131" s="3" t="s">
        <v>87</v>
      </c>
      <c r="K131" s="3" t="s">
        <v>75</v>
      </c>
      <c r="L131" s="3" t="s">
        <v>76</v>
      </c>
      <c r="M131" s="3" t="s">
        <v>90</v>
      </c>
      <c r="N131" s="3" t="s">
        <v>40</v>
      </c>
      <c r="O131" s="3" t="s">
        <v>874</v>
      </c>
      <c r="P131" s="3" t="s">
        <v>875</v>
      </c>
      <c r="Q131" s="3"/>
      <c r="R131" s="3" t="s">
        <v>93</v>
      </c>
      <c r="S131" s="3"/>
      <c r="T131" s="3"/>
      <c r="U131" s="3"/>
      <c r="V131" s="3" t="s">
        <v>50</v>
      </c>
      <c r="W131" s="3" t="s">
        <v>50</v>
      </c>
      <c r="X131" s="3" t="s">
        <v>688</v>
      </c>
      <c r="Y131" s="3" t="s">
        <v>689</v>
      </c>
      <c r="Z131" s="3" t="s">
        <v>690</v>
      </c>
    </row>
    <row r="132" customFormat="false" ht="15" hidden="false" customHeight="false" outlineLevel="0" collapsed="false">
      <c r="A132" s="5" t="s">
        <v>876</v>
      </c>
      <c r="B132" s="5" t="s">
        <v>877</v>
      </c>
      <c r="C132" s="5" t="s">
        <v>878</v>
      </c>
      <c r="D132" s="5"/>
      <c r="E132" s="5" t="s">
        <v>269</v>
      </c>
      <c r="F132" s="5" t="s">
        <v>166</v>
      </c>
      <c r="G132" s="5" t="s">
        <v>166</v>
      </c>
      <c r="H132" s="5" t="s">
        <v>46</v>
      </c>
      <c r="I132" s="5" t="s">
        <v>683</v>
      </c>
      <c r="J132" s="5" t="s">
        <v>87</v>
      </c>
      <c r="K132" s="5" t="s">
        <v>75</v>
      </c>
      <c r="L132" s="5" t="s">
        <v>76</v>
      </c>
      <c r="M132" s="5" t="s">
        <v>90</v>
      </c>
      <c r="N132" s="5" t="s">
        <v>40</v>
      </c>
      <c r="O132" s="5" t="s">
        <v>879</v>
      </c>
      <c r="P132" s="5" t="s">
        <v>880</v>
      </c>
      <c r="Q132" s="5"/>
      <c r="R132" s="5" t="s">
        <v>93</v>
      </c>
      <c r="S132" s="5"/>
      <c r="T132" s="5"/>
      <c r="U132" s="5"/>
      <c r="V132" s="5" t="s">
        <v>50</v>
      </c>
      <c r="W132" s="5" t="s">
        <v>50</v>
      </c>
      <c r="X132" s="5" t="s">
        <v>688</v>
      </c>
      <c r="Y132" s="5" t="s">
        <v>689</v>
      </c>
      <c r="Z132" s="5" t="s">
        <v>690</v>
      </c>
    </row>
    <row r="133" customFormat="false" ht="15" hidden="false" customHeight="false" outlineLevel="0" collapsed="false">
      <c r="A133" s="3" t="s">
        <v>881</v>
      </c>
      <c r="B133" s="3" t="s">
        <v>882</v>
      </c>
      <c r="C133" s="3" t="s">
        <v>883</v>
      </c>
      <c r="D133" s="3"/>
      <c r="E133" s="3" t="s">
        <v>884</v>
      </c>
      <c r="F133" s="3" t="s">
        <v>89</v>
      </c>
      <c r="G133" s="3" t="s">
        <v>89</v>
      </c>
      <c r="H133" s="3" t="s">
        <v>40</v>
      </c>
      <c r="I133" s="3" t="s">
        <v>683</v>
      </c>
      <c r="J133" s="3" t="s">
        <v>87</v>
      </c>
      <c r="K133" s="3" t="s">
        <v>75</v>
      </c>
      <c r="L133" s="3" t="s">
        <v>76</v>
      </c>
      <c r="M133" s="3" t="s">
        <v>90</v>
      </c>
      <c r="N133" s="3" t="s">
        <v>40</v>
      </c>
      <c r="O133" s="3" t="s">
        <v>885</v>
      </c>
      <c r="P133" s="3" t="s">
        <v>886</v>
      </c>
      <c r="Q133" s="3"/>
      <c r="R133" s="3" t="s">
        <v>93</v>
      </c>
      <c r="S133" s="3"/>
      <c r="T133" s="3"/>
      <c r="U133" s="3"/>
      <c r="V133" s="3" t="s">
        <v>50</v>
      </c>
      <c r="W133" s="3" t="s">
        <v>50</v>
      </c>
      <c r="X133" s="3" t="s">
        <v>688</v>
      </c>
      <c r="Y133" s="3" t="s">
        <v>689</v>
      </c>
      <c r="Z133" s="3" t="s">
        <v>690</v>
      </c>
    </row>
    <row r="134" customFormat="false" ht="15" hidden="false" customHeight="false" outlineLevel="0" collapsed="false">
      <c r="A134" s="3" t="s">
        <v>887</v>
      </c>
      <c r="B134" s="3" t="s">
        <v>888</v>
      </c>
      <c r="C134" s="3" t="s">
        <v>283</v>
      </c>
      <c r="D134" s="3"/>
      <c r="E134" s="3" t="s">
        <v>889</v>
      </c>
      <c r="F134" s="3" t="s">
        <v>89</v>
      </c>
      <c r="G134" s="3" t="s">
        <v>89</v>
      </c>
      <c r="H134" s="3" t="s">
        <v>40</v>
      </c>
      <c r="I134" s="3" t="s">
        <v>683</v>
      </c>
      <c r="J134" s="3" t="s">
        <v>87</v>
      </c>
      <c r="K134" s="3" t="s">
        <v>75</v>
      </c>
      <c r="L134" s="3" t="s">
        <v>76</v>
      </c>
      <c r="M134" s="3" t="s">
        <v>90</v>
      </c>
      <c r="N134" s="3" t="s">
        <v>40</v>
      </c>
      <c r="O134" s="3" t="s">
        <v>890</v>
      </c>
      <c r="P134" s="3" t="s">
        <v>891</v>
      </c>
      <c r="Q134" s="3"/>
      <c r="R134" s="3" t="s">
        <v>93</v>
      </c>
      <c r="S134" s="3"/>
      <c r="T134" s="3"/>
      <c r="U134" s="3"/>
      <c r="V134" s="3" t="s">
        <v>50</v>
      </c>
      <c r="W134" s="3" t="s">
        <v>50</v>
      </c>
      <c r="X134" s="3" t="s">
        <v>688</v>
      </c>
      <c r="Y134" s="3" t="s">
        <v>689</v>
      </c>
      <c r="Z134" s="3" t="s">
        <v>690</v>
      </c>
    </row>
    <row r="135" customFormat="false" ht="15" hidden="false" customHeight="false" outlineLevel="0" collapsed="false">
      <c r="A135" s="3" t="s">
        <v>892</v>
      </c>
      <c r="B135" s="3" t="s">
        <v>893</v>
      </c>
      <c r="C135" s="3" t="s">
        <v>894</v>
      </c>
      <c r="D135" s="3"/>
      <c r="E135" s="3" t="s">
        <v>895</v>
      </c>
      <c r="F135" s="3" t="s">
        <v>57</v>
      </c>
      <c r="G135" s="3" t="s">
        <v>57</v>
      </c>
      <c r="H135" s="3" t="s">
        <v>40</v>
      </c>
      <c r="I135" s="3" t="s">
        <v>683</v>
      </c>
      <c r="J135" s="3" t="s">
        <v>87</v>
      </c>
      <c r="K135" s="3" t="s">
        <v>75</v>
      </c>
      <c r="L135" s="3" t="s">
        <v>76</v>
      </c>
      <c r="M135" s="3" t="s">
        <v>90</v>
      </c>
      <c r="N135" s="3" t="s">
        <v>40</v>
      </c>
      <c r="O135" s="3" t="s">
        <v>896</v>
      </c>
      <c r="P135" s="3" t="s">
        <v>897</v>
      </c>
      <c r="Q135" s="3"/>
      <c r="R135" s="3" t="s">
        <v>93</v>
      </c>
      <c r="S135" s="3"/>
      <c r="T135" s="3"/>
      <c r="U135" s="3"/>
      <c r="V135" s="3" t="s">
        <v>50</v>
      </c>
      <c r="W135" s="3" t="s">
        <v>50</v>
      </c>
      <c r="X135" s="3" t="s">
        <v>688</v>
      </c>
      <c r="Y135" s="3" t="s">
        <v>689</v>
      </c>
      <c r="Z135" s="3" t="s">
        <v>690</v>
      </c>
    </row>
    <row r="136" customFormat="false" ht="15" hidden="false" customHeight="false" outlineLevel="0" collapsed="false">
      <c r="A136" s="3" t="s">
        <v>898</v>
      </c>
      <c r="B136" s="3" t="s">
        <v>899</v>
      </c>
      <c r="C136" s="3" t="s">
        <v>900</v>
      </c>
      <c r="D136" s="3"/>
      <c r="E136" s="3" t="s">
        <v>901</v>
      </c>
      <c r="F136" s="3" t="s">
        <v>83</v>
      </c>
      <c r="G136" s="3" t="s">
        <v>83</v>
      </c>
      <c r="H136" s="3" t="s">
        <v>40</v>
      </c>
      <c r="I136" s="3" t="s">
        <v>683</v>
      </c>
      <c r="J136" s="3" t="s">
        <v>87</v>
      </c>
      <c r="K136" s="3" t="s">
        <v>75</v>
      </c>
      <c r="L136" s="3" t="s">
        <v>76</v>
      </c>
      <c r="M136" s="3" t="s">
        <v>90</v>
      </c>
      <c r="N136" s="3" t="s">
        <v>40</v>
      </c>
      <c r="O136" s="3" t="s">
        <v>902</v>
      </c>
      <c r="P136" s="3" t="s">
        <v>903</v>
      </c>
      <c r="Q136" s="3"/>
      <c r="R136" s="3" t="s">
        <v>93</v>
      </c>
      <c r="S136" s="3"/>
      <c r="T136" s="3"/>
      <c r="U136" s="3"/>
      <c r="V136" s="3" t="s">
        <v>50</v>
      </c>
      <c r="W136" s="3" t="s">
        <v>50</v>
      </c>
      <c r="X136" s="3" t="s">
        <v>688</v>
      </c>
      <c r="Y136" s="3" t="s">
        <v>689</v>
      </c>
      <c r="Z136" s="3" t="s">
        <v>690</v>
      </c>
    </row>
    <row r="137" customFormat="false" ht="15" hidden="false" customHeight="false" outlineLevel="0" collapsed="false">
      <c r="A137" s="3" t="s">
        <v>904</v>
      </c>
      <c r="B137" s="3" t="s">
        <v>905</v>
      </c>
      <c r="C137" s="3" t="s">
        <v>906</v>
      </c>
      <c r="D137" s="3"/>
      <c r="E137" s="3" t="s">
        <v>907</v>
      </c>
      <c r="F137" s="3" t="s">
        <v>89</v>
      </c>
      <c r="G137" s="3" t="s">
        <v>89</v>
      </c>
      <c r="H137" s="3" t="s">
        <v>40</v>
      </c>
      <c r="I137" s="3" t="s">
        <v>683</v>
      </c>
      <c r="J137" s="3" t="s">
        <v>87</v>
      </c>
      <c r="K137" s="3" t="s">
        <v>75</v>
      </c>
      <c r="L137" s="3" t="s">
        <v>76</v>
      </c>
      <c r="M137" s="3" t="s">
        <v>90</v>
      </c>
      <c r="N137" s="3" t="s">
        <v>40</v>
      </c>
      <c r="O137" s="3" t="s">
        <v>908</v>
      </c>
      <c r="P137" s="3" t="s">
        <v>909</v>
      </c>
      <c r="Q137" s="3"/>
      <c r="R137" s="3" t="s">
        <v>93</v>
      </c>
      <c r="S137" s="3"/>
      <c r="T137" s="3"/>
      <c r="U137" s="3"/>
      <c r="V137" s="3" t="s">
        <v>50</v>
      </c>
      <c r="W137" s="3" t="s">
        <v>50</v>
      </c>
      <c r="X137" s="3" t="s">
        <v>688</v>
      </c>
      <c r="Y137" s="3" t="s">
        <v>689</v>
      </c>
      <c r="Z137" s="3" t="s">
        <v>690</v>
      </c>
    </row>
    <row r="138" customFormat="false" ht="15" hidden="false" customHeight="false" outlineLevel="0" collapsed="false">
      <c r="A138" s="3" t="s">
        <v>910</v>
      </c>
      <c r="B138" s="3" t="s">
        <v>911</v>
      </c>
      <c r="C138" s="3" t="s">
        <v>912</v>
      </c>
      <c r="D138" s="3"/>
      <c r="E138" s="3" t="s">
        <v>913</v>
      </c>
      <c r="F138" s="3" t="s">
        <v>822</v>
      </c>
      <c r="G138" s="3" t="s">
        <v>822</v>
      </c>
      <c r="H138" s="3" t="s">
        <v>40</v>
      </c>
      <c r="I138" s="3" t="s">
        <v>683</v>
      </c>
      <c r="J138" s="3" t="s">
        <v>294</v>
      </c>
      <c r="K138" s="3" t="s">
        <v>43</v>
      </c>
      <c r="L138" s="3" t="s">
        <v>296</v>
      </c>
      <c r="M138" s="3"/>
      <c r="N138" s="3" t="s">
        <v>46</v>
      </c>
      <c r="O138" s="3" t="s">
        <v>914</v>
      </c>
      <c r="P138" s="3" t="s">
        <v>915</v>
      </c>
      <c r="Q138" s="3"/>
      <c r="R138" s="3" t="s">
        <v>412</v>
      </c>
      <c r="S138" s="3"/>
      <c r="T138" s="3"/>
      <c r="U138" s="3"/>
      <c r="V138" s="3" t="s">
        <v>50</v>
      </c>
      <c r="W138" s="3" t="s">
        <v>50</v>
      </c>
      <c r="X138" s="3" t="s">
        <v>688</v>
      </c>
      <c r="Y138" s="3" t="s">
        <v>689</v>
      </c>
      <c r="Z138" s="3" t="s">
        <v>690</v>
      </c>
    </row>
    <row r="139" customFormat="false" ht="15" hidden="false" customHeight="false" outlineLevel="0" collapsed="false">
      <c r="A139" s="3" t="s">
        <v>916</v>
      </c>
      <c r="B139" s="3" t="s">
        <v>917</v>
      </c>
      <c r="C139" s="3" t="s">
        <v>918</v>
      </c>
      <c r="D139" s="3"/>
      <c r="E139" s="3" t="s">
        <v>919</v>
      </c>
      <c r="F139" s="3" t="s">
        <v>57</v>
      </c>
      <c r="G139" s="3" t="s">
        <v>57</v>
      </c>
      <c r="H139" s="3" t="s">
        <v>40</v>
      </c>
      <c r="I139" s="3" t="s">
        <v>683</v>
      </c>
      <c r="J139" s="3" t="s">
        <v>294</v>
      </c>
      <c r="K139" s="3" t="s">
        <v>43</v>
      </c>
      <c r="L139" s="3" t="s">
        <v>296</v>
      </c>
      <c r="M139" s="3"/>
      <c r="N139" s="3" t="s">
        <v>46</v>
      </c>
      <c r="O139" s="3" t="s">
        <v>920</v>
      </c>
      <c r="P139" s="3" t="s">
        <v>921</v>
      </c>
      <c r="Q139" s="3"/>
      <c r="R139" s="3" t="s">
        <v>412</v>
      </c>
      <c r="S139" s="3"/>
      <c r="T139" s="3"/>
      <c r="U139" s="3"/>
      <c r="V139" s="3" t="s">
        <v>50</v>
      </c>
      <c r="W139" s="3" t="s">
        <v>50</v>
      </c>
      <c r="X139" s="3" t="s">
        <v>688</v>
      </c>
      <c r="Y139" s="3" t="s">
        <v>689</v>
      </c>
      <c r="Z139" s="3" t="s">
        <v>690</v>
      </c>
    </row>
    <row r="140" customFormat="false" ht="15" hidden="false" customHeight="false" outlineLevel="0" collapsed="false">
      <c r="A140" s="3" t="s">
        <v>922</v>
      </c>
      <c r="B140" s="3" t="s">
        <v>923</v>
      </c>
      <c r="C140" s="3" t="s">
        <v>924</v>
      </c>
      <c r="D140" s="3"/>
      <c r="E140" s="3" t="s">
        <v>925</v>
      </c>
      <c r="F140" s="3" t="s">
        <v>83</v>
      </c>
      <c r="G140" s="3" t="s">
        <v>83</v>
      </c>
      <c r="H140" s="3" t="s">
        <v>40</v>
      </c>
      <c r="I140" s="3" t="s">
        <v>683</v>
      </c>
      <c r="J140" s="3" t="s">
        <v>294</v>
      </c>
      <c r="K140" s="3" t="s">
        <v>43</v>
      </c>
      <c r="L140" s="3" t="s">
        <v>296</v>
      </c>
      <c r="M140" s="3"/>
      <c r="N140" s="3" t="s">
        <v>46</v>
      </c>
      <c r="O140" s="3" t="s">
        <v>926</v>
      </c>
      <c r="P140" s="3" t="s">
        <v>927</v>
      </c>
      <c r="Q140" s="3"/>
      <c r="R140" s="3" t="s">
        <v>412</v>
      </c>
      <c r="S140" s="3"/>
      <c r="T140" s="3"/>
      <c r="U140" s="3"/>
      <c r="V140" s="3" t="s">
        <v>50</v>
      </c>
      <c r="W140" s="3" t="s">
        <v>50</v>
      </c>
      <c r="X140" s="3" t="s">
        <v>688</v>
      </c>
      <c r="Y140" s="3" t="s">
        <v>689</v>
      </c>
      <c r="Z140" s="3" t="s">
        <v>690</v>
      </c>
    </row>
    <row r="141" customFormat="false" ht="15" hidden="false" customHeight="false" outlineLevel="0" collapsed="false">
      <c r="A141" s="3" t="s">
        <v>928</v>
      </c>
      <c r="B141" s="3" t="s">
        <v>929</v>
      </c>
      <c r="C141" s="3" t="s">
        <v>783</v>
      </c>
      <c r="D141" s="3"/>
      <c r="E141" s="3" t="s">
        <v>783</v>
      </c>
      <c r="F141" s="3" t="s">
        <v>83</v>
      </c>
      <c r="G141" s="3" t="s">
        <v>83</v>
      </c>
      <c r="H141" s="3" t="s">
        <v>40</v>
      </c>
      <c r="I141" s="3" t="s">
        <v>683</v>
      </c>
      <c r="J141" s="3" t="s">
        <v>58</v>
      </c>
      <c r="K141" s="3" t="s">
        <v>43</v>
      </c>
      <c r="L141" s="3" t="s">
        <v>59</v>
      </c>
      <c r="M141" s="3" t="s">
        <v>60</v>
      </c>
      <c r="N141" s="3" t="s">
        <v>46</v>
      </c>
      <c r="O141" s="3" t="s">
        <v>930</v>
      </c>
      <c r="P141" s="3" t="s">
        <v>931</v>
      </c>
      <c r="Q141" s="3"/>
      <c r="R141" s="3" t="s">
        <v>63</v>
      </c>
      <c r="S141" s="3"/>
      <c r="T141" s="3"/>
      <c r="U141" s="3"/>
      <c r="V141" s="3" t="s">
        <v>50</v>
      </c>
      <c r="W141" s="3" t="s">
        <v>50</v>
      </c>
      <c r="X141" s="3" t="s">
        <v>688</v>
      </c>
      <c r="Y141" s="3" t="s">
        <v>689</v>
      </c>
      <c r="Z141" s="3" t="s">
        <v>690</v>
      </c>
    </row>
    <row r="142" customFormat="false" ht="15" hidden="false" customHeight="false" outlineLevel="0" collapsed="false">
      <c r="A142" s="3" t="s">
        <v>932</v>
      </c>
      <c r="B142" s="3" t="s">
        <v>933</v>
      </c>
      <c r="C142" s="3" t="s">
        <v>934</v>
      </c>
      <c r="D142" s="3"/>
      <c r="E142" s="3" t="s">
        <v>935</v>
      </c>
      <c r="F142" s="3" t="s">
        <v>89</v>
      </c>
      <c r="G142" s="3" t="s">
        <v>89</v>
      </c>
      <c r="H142" s="3" t="s">
        <v>40</v>
      </c>
      <c r="I142" s="3" t="s">
        <v>683</v>
      </c>
      <c r="J142" s="3" t="s">
        <v>58</v>
      </c>
      <c r="K142" s="3" t="s">
        <v>43</v>
      </c>
      <c r="L142" s="3" t="s">
        <v>59</v>
      </c>
      <c r="M142" s="3" t="s">
        <v>60</v>
      </c>
      <c r="N142" s="3" t="s">
        <v>46</v>
      </c>
      <c r="O142" s="3" t="s">
        <v>936</v>
      </c>
      <c r="P142" s="3" t="s">
        <v>937</v>
      </c>
      <c r="Q142" s="3"/>
      <c r="R142" s="3" t="s">
        <v>63</v>
      </c>
      <c r="S142" s="3"/>
      <c r="T142" s="3"/>
      <c r="U142" s="3"/>
      <c r="V142" s="3" t="s">
        <v>50</v>
      </c>
      <c r="W142" s="3" t="s">
        <v>50</v>
      </c>
      <c r="X142" s="3" t="s">
        <v>688</v>
      </c>
      <c r="Y142" s="3" t="s">
        <v>689</v>
      </c>
      <c r="Z142" s="3" t="s">
        <v>690</v>
      </c>
    </row>
    <row r="143" customFormat="false" ht="15" hidden="false" customHeight="false" outlineLevel="0" collapsed="false">
      <c r="A143" s="3" t="s">
        <v>938</v>
      </c>
      <c r="B143" s="3" t="s">
        <v>939</v>
      </c>
      <c r="C143" s="3" t="s">
        <v>940</v>
      </c>
      <c r="D143" s="3"/>
      <c r="E143" s="3" t="s">
        <v>941</v>
      </c>
      <c r="F143" s="3" t="s">
        <v>942</v>
      </c>
      <c r="G143" s="3" t="s">
        <v>942</v>
      </c>
      <c r="H143" s="3" t="s">
        <v>40</v>
      </c>
      <c r="I143" s="3" t="s">
        <v>683</v>
      </c>
      <c r="J143" s="3" t="s">
        <v>58</v>
      </c>
      <c r="K143" s="3" t="s">
        <v>43</v>
      </c>
      <c r="L143" s="3" t="s">
        <v>59</v>
      </c>
      <c r="M143" s="3" t="s">
        <v>60</v>
      </c>
      <c r="N143" s="3" t="s">
        <v>46</v>
      </c>
      <c r="O143" s="3" t="s">
        <v>943</v>
      </c>
      <c r="P143" s="3" t="s">
        <v>944</v>
      </c>
      <c r="Q143" s="3"/>
      <c r="R143" s="3" t="s">
        <v>63</v>
      </c>
      <c r="S143" s="3"/>
      <c r="T143" s="3"/>
      <c r="U143" s="3"/>
      <c r="V143" s="3" t="s">
        <v>50</v>
      </c>
      <c r="W143" s="3" t="s">
        <v>50</v>
      </c>
      <c r="X143" s="3" t="s">
        <v>688</v>
      </c>
      <c r="Y143" s="3" t="s">
        <v>689</v>
      </c>
      <c r="Z143" s="3" t="s">
        <v>690</v>
      </c>
    </row>
    <row r="144" customFormat="false" ht="15" hidden="false" customHeight="false" outlineLevel="0" collapsed="false">
      <c r="A144" s="3" t="s">
        <v>945</v>
      </c>
      <c r="B144" s="3" t="s">
        <v>946</v>
      </c>
      <c r="C144" s="3" t="s">
        <v>705</v>
      </c>
      <c r="D144" s="3"/>
      <c r="E144" s="3" t="s">
        <v>706</v>
      </c>
      <c r="F144" s="3" t="s">
        <v>89</v>
      </c>
      <c r="G144" s="3" t="s">
        <v>89</v>
      </c>
      <c r="H144" s="3" t="s">
        <v>40</v>
      </c>
      <c r="I144" s="3" t="s">
        <v>683</v>
      </c>
      <c r="J144" s="3" t="s">
        <v>58</v>
      </c>
      <c r="K144" s="3" t="s">
        <v>43</v>
      </c>
      <c r="L144" s="3" t="s">
        <v>59</v>
      </c>
      <c r="M144" s="3" t="s">
        <v>60</v>
      </c>
      <c r="N144" s="3" t="s">
        <v>46</v>
      </c>
      <c r="O144" s="3" t="s">
        <v>947</v>
      </c>
      <c r="P144" s="3" t="s">
        <v>948</v>
      </c>
      <c r="Q144" s="3"/>
      <c r="R144" s="3" t="s">
        <v>63</v>
      </c>
      <c r="S144" s="3"/>
      <c r="T144" s="3"/>
      <c r="U144" s="3"/>
      <c r="V144" s="3" t="s">
        <v>50</v>
      </c>
      <c r="W144" s="3" t="s">
        <v>50</v>
      </c>
      <c r="X144" s="3" t="s">
        <v>688</v>
      </c>
      <c r="Y144" s="3" t="s">
        <v>689</v>
      </c>
      <c r="Z144" s="3" t="s">
        <v>690</v>
      </c>
    </row>
    <row r="145" customFormat="false" ht="15" hidden="false" customHeight="false" outlineLevel="0" collapsed="false">
      <c r="A145" s="3" t="s">
        <v>949</v>
      </c>
      <c r="B145" s="3" t="s">
        <v>950</v>
      </c>
      <c r="C145" s="3" t="s">
        <v>951</v>
      </c>
      <c r="D145" s="3"/>
      <c r="E145" s="3" t="s">
        <v>952</v>
      </c>
      <c r="F145" s="3" t="s">
        <v>89</v>
      </c>
      <c r="G145" s="3" t="s">
        <v>89</v>
      </c>
      <c r="H145" s="3" t="s">
        <v>40</v>
      </c>
      <c r="I145" s="3" t="s">
        <v>683</v>
      </c>
      <c r="J145" s="3" t="s">
        <v>58</v>
      </c>
      <c r="K145" s="3" t="s">
        <v>43</v>
      </c>
      <c r="L145" s="3" t="s">
        <v>59</v>
      </c>
      <c r="M145" s="3" t="s">
        <v>60</v>
      </c>
      <c r="N145" s="3" t="s">
        <v>46</v>
      </c>
      <c r="O145" s="3" t="s">
        <v>953</v>
      </c>
      <c r="P145" s="3" t="s">
        <v>954</v>
      </c>
      <c r="Q145" s="3"/>
      <c r="R145" s="3" t="s">
        <v>63</v>
      </c>
      <c r="S145" s="3"/>
      <c r="T145" s="3"/>
      <c r="U145" s="3"/>
      <c r="V145" s="3" t="s">
        <v>50</v>
      </c>
      <c r="W145" s="3" t="s">
        <v>50</v>
      </c>
      <c r="X145" s="3" t="s">
        <v>688</v>
      </c>
      <c r="Y145" s="3" t="s">
        <v>689</v>
      </c>
      <c r="Z145" s="3" t="s">
        <v>690</v>
      </c>
    </row>
    <row r="146" customFormat="false" ht="15" hidden="false" customHeight="false" outlineLevel="0" collapsed="false">
      <c r="A146" s="3" t="s">
        <v>955</v>
      </c>
      <c r="B146" s="3" t="s">
        <v>956</v>
      </c>
      <c r="C146" s="3" t="s">
        <v>957</v>
      </c>
      <c r="D146" s="3"/>
      <c r="E146" s="3" t="s">
        <v>958</v>
      </c>
      <c r="F146" s="3" t="s">
        <v>83</v>
      </c>
      <c r="G146" s="3" t="s">
        <v>83</v>
      </c>
      <c r="H146" s="3" t="s">
        <v>40</v>
      </c>
      <c r="I146" s="3" t="s">
        <v>683</v>
      </c>
      <c r="J146" s="3" t="s">
        <v>58</v>
      </c>
      <c r="K146" s="3" t="s">
        <v>43</v>
      </c>
      <c r="L146" s="3" t="s">
        <v>59</v>
      </c>
      <c r="M146" s="3" t="s">
        <v>60</v>
      </c>
      <c r="N146" s="3" t="s">
        <v>46</v>
      </c>
      <c r="O146" s="3" t="s">
        <v>959</v>
      </c>
      <c r="P146" s="3" t="s">
        <v>960</v>
      </c>
      <c r="Q146" s="3"/>
      <c r="R146" s="3" t="s">
        <v>63</v>
      </c>
      <c r="S146" s="3"/>
      <c r="T146" s="3"/>
      <c r="U146" s="3"/>
      <c r="V146" s="3" t="s">
        <v>50</v>
      </c>
      <c r="W146" s="3" t="s">
        <v>50</v>
      </c>
      <c r="X146" s="3" t="s">
        <v>688</v>
      </c>
      <c r="Y146" s="3" t="s">
        <v>689</v>
      </c>
      <c r="Z146" s="3" t="s">
        <v>690</v>
      </c>
    </row>
    <row r="147" customFormat="false" ht="15" hidden="false" customHeight="false" outlineLevel="0" collapsed="false">
      <c r="A147" s="3" t="s">
        <v>961</v>
      </c>
      <c r="B147" s="3" t="s">
        <v>962</v>
      </c>
      <c r="C147" s="3" t="s">
        <v>757</v>
      </c>
      <c r="D147" s="3"/>
      <c r="E147" s="3" t="s">
        <v>758</v>
      </c>
      <c r="F147" s="3" t="s">
        <v>89</v>
      </c>
      <c r="G147" s="3" t="s">
        <v>89</v>
      </c>
      <c r="H147" s="3" t="s">
        <v>40</v>
      </c>
      <c r="I147" s="3" t="s">
        <v>683</v>
      </c>
      <c r="J147" s="3" t="s">
        <v>110</v>
      </c>
      <c r="K147" s="3" t="s">
        <v>43</v>
      </c>
      <c r="L147" s="3" t="s">
        <v>59</v>
      </c>
      <c r="M147" s="3" t="s">
        <v>111</v>
      </c>
      <c r="N147" s="3" t="s">
        <v>46</v>
      </c>
      <c r="O147" s="3" t="s">
        <v>963</v>
      </c>
      <c r="P147" s="3" t="s">
        <v>964</v>
      </c>
      <c r="Q147" s="3"/>
      <c r="R147" s="3" t="s">
        <v>114</v>
      </c>
      <c r="S147" s="3"/>
      <c r="T147" s="3"/>
      <c r="U147" s="3"/>
      <c r="V147" s="3" t="s">
        <v>50</v>
      </c>
      <c r="W147" s="3" t="s">
        <v>50</v>
      </c>
      <c r="X147" s="3" t="s">
        <v>688</v>
      </c>
      <c r="Y147" s="3" t="s">
        <v>689</v>
      </c>
      <c r="Z147" s="3" t="s">
        <v>690</v>
      </c>
    </row>
    <row r="148" customFormat="false" ht="15" hidden="false" customHeight="false" outlineLevel="0" collapsed="false">
      <c r="A148" s="3" t="s">
        <v>965</v>
      </c>
      <c r="B148" s="3" t="s">
        <v>966</v>
      </c>
      <c r="C148" s="3" t="s">
        <v>967</v>
      </c>
      <c r="D148" s="3"/>
      <c r="E148" s="3" t="s">
        <v>968</v>
      </c>
      <c r="F148" s="3" t="s">
        <v>83</v>
      </c>
      <c r="G148" s="3" t="s">
        <v>83</v>
      </c>
      <c r="H148" s="3" t="s">
        <v>40</v>
      </c>
      <c r="I148" s="3" t="s">
        <v>683</v>
      </c>
      <c r="J148" s="3" t="s">
        <v>110</v>
      </c>
      <c r="K148" s="3" t="s">
        <v>43</v>
      </c>
      <c r="L148" s="3" t="s">
        <v>59</v>
      </c>
      <c r="M148" s="3" t="s">
        <v>111</v>
      </c>
      <c r="N148" s="3" t="s">
        <v>46</v>
      </c>
      <c r="O148" s="3" t="s">
        <v>969</v>
      </c>
      <c r="P148" s="3" t="s">
        <v>970</v>
      </c>
      <c r="Q148" s="3"/>
      <c r="R148" s="3" t="s">
        <v>114</v>
      </c>
      <c r="S148" s="3"/>
      <c r="T148" s="3"/>
      <c r="U148" s="3"/>
      <c r="V148" s="3" t="s">
        <v>50</v>
      </c>
      <c r="W148" s="3" t="s">
        <v>50</v>
      </c>
      <c r="X148" s="3" t="s">
        <v>688</v>
      </c>
      <c r="Y148" s="3" t="s">
        <v>689</v>
      </c>
      <c r="Z148" s="3" t="s">
        <v>690</v>
      </c>
    </row>
    <row r="149" customFormat="false" ht="15" hidden="false" customHeight="false" outlineLevel="0" collapsed="false">
      <c r="A149" s="3" t="s">
        <v>971</v>
      </c>
      <c r="B149" s="3" t="s">
        <v>972</v>
      </c>
      <c r="C149" s="3" t="s">
        <v>973</v>
      </c>
      <c r="D149" s="3"/>
      <c r="E149" s="3" t="s">
        <v>974</v>
      </c>
      <c r="F149" s="3" t="s">
        <v>67</v>
      </c>
      <c r="G149" s="3" t="s">
        <v>67</v>
      </c>
      <c r="H149" s="3" t="s">
        <v>40</v>
      </c>
      <c r="I149" s="3" t="s">
        <v>683</v>
      </c>
      <c r="J149" s="3" t="s">
        <v>110</v>
      </c>
      <c r="K149" s="3" t="s">
        <v>43</v>
      </c>
      <c r="L149" s="3" t="s">
        <v>59</v>
      </c>
      <c r="M149" s="3" t="s">
        <v>111</v>
      </c>
      <c r="N149" s="3" t="s">
        <v>46</v>
      </c>
      <c r="O149" s="3" t="s">
        <v>975</v>
      </c>
      <c r="P149" s="3" t="s">
        <v>976</v>
      </c>
      <c r="Q149" s="3"/>
      <c r="R149" s="3" t="s">
        <v>114</v>
      </c>
      <c r="S149" s="3"/>
      <c r="T149" s="3"/>
      <c r="U149" s="3"/>
      <c r="V149" s="3" t="s">
        <v>50</v>
      </c>
      <c r="W149" s="3" t="s">
        <v>50</v>
      </c>
      <c r="X149" s="3" t="s">
        <v>688</v>
      </c>
      <c r="Y149" s="3" t="s">
        <v>689</v>
      </c>
      <c r="Z149" s="3" t="s">
        <v>690</v>
      </c>
    </row>
    <row r="150" customFormat="false" ht="15" hidden="false" customHeight="false" outlineLevel="0" collapsed="false">
      <c r="A150" s="3" t="s">
        <v>977</v>
      </c>
      <c r="B150" s="3" t="s">
        <v>978</v>
      </c>
      <c r="C150" s="3" t="s">
        <v>979</v>
      </c>
      <c r="D150" s="3"/>
      <c r="E150" s="3" t="s">
        <v>980</v>
      </c>
      <c r="F150" s="3" t="s">
        <v>89</v>
      </c>
      <c r="G150" s="3" t="s">
        <v>89</v>
      </c>
      <c r="H150" s="3" t="s">
        <v>40</v>
      </c>
      <c r="I150" s="3" t="s">
        <v>683</v>
      </c>
      <c r="J150" s="3" t="s">
        <v>110</v>
      </c>
      <c r="K150" s="3" t="s">
        <v>43</v>
      </c>
      <c r="L150" s="3" t="s">
        <v>59</v>
      </c>
      <c r="M150" s="3" t="s">
        <v>111</v>
      </c>
      <c r="N150" s="3" t="s">
        <v>46</v>
      </c>
      <c r="O150" s="3" t="s">
        <v>981</v>
      </c>
      <c r="P150" s="3" t="s">
        <v>982</v>
      </c>
      <c r="Q150" s="3"/>
      <c r="R150" s="3" t="s">
        <v>114</v>
      </c>
      <c r="S150" s="3"/>
      <c r="T150" s="3"/>
      <c r="U150" s="3"/>
      <c r="V150" s="3" t="s">
        <v>50</v>
      </c>
      <c r="W150" s="3" t="s">
        <v>50</v>
      </c>
      <c r="X150" s="3" t="s">
        <v>688</v>
      </c>
      <c r="Y150" s="3" t="s">
        <v>689</v>
      </c>
      <c r="Z150" s="3" t="s">
        <v>690</v>
      </c>
    </row>
    <row r="151" customFormat="false" ht="15" hidden="false" customHeight="false" outlineLevel="0" collapsed="false">
      <c r="A151" s="3" t="s">
        <v>983</v>
      </c>
      <c r="B151" s="3" t="s">
        <v>984</v>
      </c>
      <c r="C151" s="3" t="s">
        <v>985</v>
      </c>
      <c r="D151" s="3"/>
      <c r="E151" s="3" t="s">
        <v>986</v>
      </c>
      <c r="F151" s="3" t="s">
        <v>89</v>
      </c>
      <c r="G151" s="3" t="s">
        <v>89</v>
      </c>
      <c r="H151" s="3" t="s">
        <v>40</v>
      </c>
      <c r="I151" s="3" t="s">
        <v>683</v>
      </c>
      <c r="J151" s="3" t="s">
        <v>110</v>
      </c>
      <c r="K151" s="3" t="s">
        <v>43</v>
      </c>
      <c r="L151" s="3" t="s">
        <v>59</v>
      </c>
      <c r="M151" s="3" t="s">
        <v>111</v>
      </c>
      <c r="N151" s="3" t="s">
        <v>46</v>
      </c>
      <c r="O151" s="3" t="s">
        <v>987</v>
      </c>
      <c r="P151" s="3" t="s">
        <v>988</v>
      </c>
      <c r="Q151" s="3"/>
      <c r="R151" s="3" t="s">
        <v>114</v>
      </c>
      <c r="S151" s="3"/>
      <c r="T151" s="3"/>
      <c r="U151" s="3"/>
      <c r="V151" s="3" t="s">
        <v>50</v>
      </c>
      <c r="W151" s="3" t="s">
        <v>50</v>
      </c>
      <c r="X151" s="3" t="s">
        <v>688</v>
      </c>
      <c r="Y151" s="3" t="s">
        <v>689</v>
      </c>
      <c r="Z151" s="3" t="s">
        <v>690</v>
      </c>
    </row>
    <row r="152" customFormat="false" ht="15" hidden="false" customHeight="false" outlineLevel="0" collapsed="false">
      <c r="A152" s="3" t="s">
        <v>989</v>
      </c>
      <c r="B152" s="3" t="s">
        <v>990</v>
      </c>
      <c r="C152" s="3" t="s">
        <v>991</v>
      </c>
      <c r="D152" s="3"/>
      <c r="E152" s="3" t="s">
        <v>992</v>
      </c>
      <c r="F152" s="3" t="s">
        <v>89</v>
      </c>
      <c r="G152" s="3" t="s">
        <v>89</v>
      </c>
      <c r="H152" s="3" t="s">
        <v>40</v>
      </c>
      <c r="I152" s="3" t="s">
        <v>683</v>
      </c>
      <c r="J152" s="3" t="s">
        <v>110</v>
      </c>
      <c r="K152" s="3" t="s">
        <v>43</v>
      </c>
      <c r="L152" s="3" t="s">
        <v>59</v>
      </c>
      <c r="M152" s="3" t="s">
        <v>111</v>
      </c>
      <c r="N152" s="3" t="s">
        <v>46</v>
      </c>
      <c r="O152" s="3" t="s">
        <v>993</v>
      </c>
      <c r="P152" s="3" t="s">
        <v>994</v>
      </c>
      <c r="Q152" s="3"/>
      <c r="R152" s="3" t="s">
        <v>114</v>
      </c>
      <c r="S152" s="3"/>
      <c r="T152" s="3"/>
      <c r="U152" s="3"/>
      <c r="V152" s="3" t="s">
        <v>50</v>
      </c>
      <c r="W152" s="3" t="s">
        <v>50</v>
      </c>
      <c r="X152" s="3" t="s">
        <v>688</v>
      </c>
      <c r="Y152" s="3" t="s">
        <v>689</v>
      </c>
      <c r="Z152" s="3" t="s">
        <v>690</v>
      </c>
    </row>
    <row r="153" customFormat="false" ht="15" hidden="false" customHeight="false" outlineLevel="0" collapsed="false">
      <c r="A153" s="3" t="s">
        <v>995</v>
      </c>
      <c r="B153" s="3" t="s">
        <v>996</v>
      </c>
      <c r="C153" s="3" t="s">
        <v>997</v>
      </c>
      <c r="D153" s="3"/>
      <c r="E153" s="3" t="s">
        <v>998</v>
      </c>
      <c r="F153" s="3" t="s">
        <v>999</v>
      </c>
      <c r="G153" s="3" t="s">
        <v>999</v>
      </c>
      <c r="H153" s="3" t="s">
        <v>40</v>
      </c>
      <c r="I153" s="3" t="s">
        <v>683</v>
      </c>
      <c r="J153" s="3" t="s">
        <v>110</v>
      </c>
      <c r="K153" s="3" t="s">
        <v>43</v>
      </c>
      <c r="L153" s="3" t="s">
        <v>59</v>
      </c>
      <c r="M153" s="3" t="s">
        <v>111</v>
      </c>
      <c r="N153" s="3" t="s">
        <v>46</v>
      </c>
      <c r="O153" s="3" t="s">
        <v>1000</v>
      </c>
      <c r="P153" s="3" t="s">
        <v>1001</v>
      </c>
      <c r="Q153" s="3"/>
      <c r="R153" s="3" t="s">
        <v>114</v>
      </c>
      <c r="S153" s="3"/>
      <c r="T153" s="3"/>
      <c r="U153" s="3"/>
      <c r="V153" s="3" t="s">
        <v>50</v>
      </c>
      <c r="W153" s="3" t="s">
        <v>50</v>
      </c>
      <c r="X153" s="3" t="s">
        <v>688</v>
      </c>
      <c r="Y153" s="3" t="s">
        <v>689</v>
      </c>
      <c r="Z153" s="3" t="s">
        <v>690</v>
      </c>
    </row>
    <row r="154" customFormat="false" ht="15" hidden="false" customHeight="false" outlineLevel="0" collapsed="false">
      <c r="A154" s="5" t="s">
        <v>1002</v>
      </c>
      <c r="B154" s="5" t="s">
        <v>1003</v>
      </c>
      <c r="C154" s="5" t="s">
        <v>1004</v>
      </c>
      <c r="D154" s="5"/>
      <c r="E154" s="5" t="s">
        <v>1005</v>
      </c>
      <c r="F154" s="5" t="s">
        <v>166</v>
      </c>
      <c r="G154" s="5" t="s">
        <v>166</v>
      </c>
      <c r="H154" s="5" t="s">
        <v>46</v>
      </c>
      <c r="I154" s="5" t="s">
        <v>683</v>
      </c>
      <c r="J154" s="5" t="s">
        <v>95</v>
      </c>
      <c r="K154" s="5" t="s">
        <v>43</v>
      </c>
      <c r="L154" s="5" t="s">
        <v>98</v>
      </c>
      <c r="M154" s="5" t="s">
        <v>99</v>
      </c>
      <c r="N154" s="5" t="s">
        <v>46</v>
      </c>
      <c r="O154" s="5" t="s">
        <v>1006</v>
      </c>
      <c r="P154" s="5" t="s">
        <v>1007</v>
      </c>
      <c r="Q154" s="5"/>
      <c r="R154" s="5" t="s">
        <v>102</v>
      </c>
      <c r="S154" s="5"/>
      <c r="T154" s="5"/>
      <c r="U154" s="5"/>
      <c r="V154" s="5" t="s">
        <v>50</v>
      </c>
      <c r="W154" s="5" t="s">
        <v>50</v>
      </c>
      <c r="X154" s="5" t="s">
        <v>688</v>
      </c>
      <c r="Y154" s="5" t="s">
        <v>689</v>
      </c>
      <c r="Z154" s="5" t="s">
        <v>690</v>
      </c>
    </row>
    <row r="155" customFormat="false" ht="15" hidden="false" customHeight="false" outlineLevel="0" collapsed="false">
      <c r="A155" s="3" t="s">
        <v>1008</v>
      </c>
      <c r="B155" s="3" t="s">
        <v>1009</v>
      </c>
      <c r="C155" s="3" t="s">
        <v>1010</v>
      </c>
      <c r="D155" s="3"/>
      <c r="E155" s="3" t="s">
        <v>1011</v>
      </c>
      <c r="F155" s="3" t="s">
        <v>57</v>
      </c>
      <c r="G155" s="3" t="s">
        <v>57</v>
      </c>
      <c r="H155" s="3" t="s">
        <v>40</v>
      </c>
      <c r="I155" s="3" t="s">
        <v>683</v>
      </c>
      <c r="J155" s="3" t="s">
        <v>95</v>
      </c>
      <c r="K155" s="3" t="s">
        <v>43</v>
      </c>
      <c r="L155" s="3" t="s">
        <v>98</v>
      </c>
      <c r="M155" s="3" t="s">
        <v>99</v>
      </c>
      <c r="N155" s="3" t="s">
        <v>46</v>
      </c>
      <c r="O155" s="3" t="s">
        <v>1012</v>
      </c>
      <c r="P155" s="3" t="s">
        <v>1013</v>
      </c>
      <c r="Q155" s="3"/>
      <c r="R155" s="3" t="s">
        <v>102</v>
      </c>
      <c r="S155" s="3"/>
      <c r="T155" s="3"/>
      <c r="U155" s="3"/>
      <c r="V155" s="3" t="s">
        <v>50</v>
      </c>
      <c r="W155" s="3" t="s">
        <v>50</v>
      </c>
      <c r="X155" s="3" t="s">
        <v>688</v>
      </c>
      <c r="Y155" s="3" t="s">
        <v>689</v>
      </c>
      <c r="Z155" s="3" t="s">
        <v>690</v>
      </c>
    </row>
    <row r="156" customFormat="false" ht="15" hidden="false" customHeight="false" outlineLevel="0" collapsed="false">
      <c r="A156" s="3" t="s">
        <v>1014</v>
      </c>
      <c r="B156" s="3" t="s">
        <v>1015</v>
      </c>
      <c r="C156" s="3" t="s">
        <v>1016</v>
      </c>
      <c r="D156" s="3"/>
      <c r="E156" s="3" t="s">
        <v>1016</v>
      </c>
      <c r="F156" s="3" t="s">
        <v>83</v>
      </c>
      <c r="G156" s="3" t="s">
        <v>83</v>
      </c>
      <c r="H156" s="3" t="s">
        <v>40</v>
      </c>
      <c r="I156" s="3" t="s">
        <v>683</v>
      </c>
      <c r="J156" s="3" t="s">
        <v>95</v>
      </c>
      <c r="K156" s="3" t="s">
        <v>43</v>
      </c>
      <c r="L156" s="3" t="s">
        <v>98</v>
      </c>
      <c r="M156" s="3" t="s">
        <v>99</v>
      </c>
      <c r="N156" s="3" t="s">
        <v>46</v>
      </c>
      <c r="O156" s="3" t="s">
        <v>1017</v>
      </c>
      <c r="P156" s="3" t="s">
        <v>1018</v>
      </c>
      <c r="Q156" s="3"/>
      <c r="R156" s="3" t="s">
        <v>102</v>
      </c>
      <c r="S156" s="3"/>
      <c r="T156" s="3"/>
      <c r="U156" s="3"/>
      <c r="V156" s="3" t="s">
        <v>50</v>
      </c>
      <c r="W156" s="3" t="s">
        <v>50</v>
      </c>
      <c r="X156" s="3" t="s">
        <v>688</v>
      </c>
      <c r="Y156" s="3" t="s">
        <v>689</v>
      </c>
      <c r="Z156" s="3" t="s">
        <v>690</v>
      </c>
    </row>
    <row r="157" customFormat="false" ht="15" hidden="false" customHeight="false" outlineLevel="0" collapsed="false">
      <c r="A157" s="3" t="s">
        <v>1019</v>
      </c>
      <c r="B157" s="3" t="s">
        <v>1020</v>
      </c>
      <c r="C157" s="3" t="s">
        <v>1021</v>
      </c>
      <c r="D157" s="3"/>
      <c r="E157" s="3" t="s">
        <v>1022</v>
      </c>
      <c r="F157" s="3" t="s">
        <v>790</v>
      </c>
      <c r="G157" s="3" t="s">
        <v>790</v>
      </c>
      <c r="H157" s="3" t="s">
        <v>40</v>
      </c>
      <c r="I157" s="3" t="s">
        <v>683</v>
      </c>
      <c r="J157" s="3" t="s">
        <v>95</v>
      </c>
      <c r="K157" s="3" t="s">
        <v>43</v>
      </c>
      <c r="L157" s="3" t="s">
        <v>98</v>
      </c>
      <c r="M157" s="3" t="s">
        <v>99</v>
      </c>
      <c r="N157" s="3" t="s">
        <v>46</v>
      </c>
      <c r="O157" s="3" t="s">
        <v>1023</v>
      </c>
      <c r="P157" s="3" t="s">
        <v>1024</v>
      </c>
      <c r="Q157" s="3"/>
      <c r="R157" s="3" t="s">
        <v>102</v>
      </c>
      <c r="S157" s="3"/>
      <c r="T157" s="3"/>
      <c r="U157" s="3"/>
      <c r="V157" s="3" t="s">
        <v>50</v>
      </c>
      <c r="W157" s="3" t="s">
        <v>50</v>
      </c>
      <c r="X157" s="3" t="s">
        <v>688</v>
      </c>
      <c r="Y157" s="3" t="s">
        <v>689</v>
      </c>
      <c r="Z157" s="3" t="s">
        <v>690</v>
      </c>
    </row>
    <row r="158" customFormat="false" ht="15" hidden="false" customHeight="false" outlineLevel="0" collapsed="false">
      <c r="A158" s="3" t="s">
        <v>1025</v>
      </c>
      <c r="B158" s="3" t="s">
        <v>1026</v>
      </c>
      <c r="C158" s="3" t="s">
        <v>1027</v>
      </c>
      <c r="D158" s="3"/>
      <c r="E158" s="3" t="s">
        <v>1028</v>
      </c>
      <c r="F158" s="3" t="s">
        <v>89</v>
      </c>
      <c r="G158" s="3" t="s">
        <v>89</v>
      </c>
      <c r="H158" s="3" t="s">
        <v>40</v>
      </c>
      <c r="I158" s="3" t="s">
        <v>683</v>
      </c>
      <c r="J158" s="3" t="s">
        <v>95</v>
      </c>
      <c r="K158" s="3" t="s">
        <v>43</v>
      </c>
      <c r="L158" s="3" t="s">
        <v>98</v>
      </c>
      <c r="M158" s="3" t="s">
        <v>99</v>
      </c>
      <c r="N158" s="3" t="s">
        <v>46</v>
      </c>
      <c r="O158" s="3" t="s">
        <v>1029</v>
      </c>
      <c r="P158" s="3" t="s">
        <v>1030</v>
      </c>
      <c r="Q158" s="3"/>
      <c r="R158" s="3" t="s">
        <v>102</v>
      </c>
      <c r="S158" s="3"/>
      <c r="T158" s="3"/>
      <c r="U158" s="3"/>
      <c r="V158" s="3" t="s">
        <v>50</v>
      </c>
      <c r="W158" s="3" t="s">
        <v>50</v>
      </c>
      <c r="X158" s="3" t="s">
        <v>688</v>
      </c>
      <c r="Y158" s="3" t="s">
        <v>689</v>
      </c>
      <c r="Z158" s="3" t="s">
        <v>690</v>
      </c>
    </row>
    <row r="159" customFormat="false" ht="15" hidden="false" customHeight="false" outlineLevel="0" collapsed="false">
      <c r="A159" s="3" t="s">
        <v>1031</v>
      </c>
      <c r="B159" s="3" t="s">
        <v>1032</v>
      </c>
      <c r="C159" s="3" t="s">
        <v>757</v>
      </c>
      <c r="D159" s="3"/>
      <c r="E159" s="3" t="s">
        <v>758</v>
      </c>
      <c r="F159" s="3" t="s">
        <v>89</v>
      </c>
      <c r="G159" s="3" t="s">
        <v>89</v>
      </c>
      <c r="H159" s="3" t="s">
        <v>40</v>
      </c>
      <c r="I159" s="3" t="s">
        <v>683</v>
      </c>
      <c r="J159" s="3" t="s">
        <v>95</v>
      </c>
      <c r="K159" s="3" t="s">
        <v>43</v>
      </c>
      <c r="L159" s="3" t="s">
        <v>98</v>
      </c>
      <c r="M159" s="3" t="s">
        <v>99</v>
      </c>
      <c r="N159" s="3" t="s">
        <v>46</v>
      </c>
      <c r="O159" s="3" t="s">
        <v>1033</v>
      </c>
      <c r="P159" s="3" t="s">
        <v>1034</v>
      </c>
      <c r="Q159" s="3"/>
      <c r="R159" s="3" t="s">
        <v>102</v>
      </c>
      <c r="S159" s="3"/>
      <c r="T159" s="3"/>
      <c r="U159" s="3"/>
      <c r="V159" s="3" t="s">
        <v>50</v>
      </c>
      <c r="W159" s="3" t="s">
        <v>50</v>
      </c>
      <c r="X159" s="3" t="s">
        <v>688</v>
      </c>
      <c r="Y159" s="3" t="s">
        <v>689</v>
      </c>
      <c r="Z159" s="3" t="s">
        <v>690</v>
      </c>
    </row>
    <row r="160" customFormat="false" ht="15" hidden="false" customHeight="false" outlineLevel="0" collapsed="false">
      <c r="A160" s="3" t="s">
        <v>1035</v>
      </c>
      <c r="B160" s="3" t="s">
        <v>1036</v>
      </c>
      <c r="C160" s="3" t="s">
        <v>1037</v>
      </c>
      <c r="D160" s="3"/>
      <c r="E160" s="3" t="s">
        <v>1038</v>
      </c>
      <c r="F160" s="3" t="s">
        <v>57</v>
      </c>
      <c r="G160" s="3" t="s">
        <v>57</v>
      </c>
      <c r="H160" s="3" t="s">
        <v>40</v>
      </c>
      <c r="I160" s="3" t="s">
        <v>683</v>
      </c>
      <c r="J160" s="3" t="s">
        <v>95</v>
      </c>
      <c r="K160" s="3" t="s">
        <v>43</v>
      </c>
      <c r="L160" s="3" t="s">
        <v>98</v>
      </c>
      <c r="M160" s="3" t="s">
        <v>99</v>
      </c>
      <c r="N160" s="3" t="s">
        <v>46</v>
      </c>
      <c r="O160" s="3" t="s">
        <v>1039</v>
      </c>
      <c r="P160" s="3" t="s">
        <v>1040</v>
      </c>
      <c r="Q160" s="3"/>
      <c r="R160" s="3" t="s">
        <v>102</v>
      </c>
      <c r="S160" s="3"/>
      <c r="T160" s="3"/>
      <c r="U160" s="3"/>
      <c r="V160" s="3" t="s">
        <v>50</v>
      </c>
      <c r="W160" s="3" t="s">
        <v>50</v>
      </c>
      <c r="X160" s="3" t="s">
        <v>688</v>
      </c>
      <c r="Y160" s="3" t="s">
        <v>689</v>
      </c>
      <c r="Z160" s="3" t="s">
        <v>690</v>
      </c>
    </row>
    <row r="161" customFormat="false" ht="15" hidden="false" customHeight="false" outlineLevel="0" collapsed="false">
      <c r="A161" s="3" t="s">
        <v>1041</v>
      </c>
      <c r="B161" s="3" t="s">
        <v>1042</v>
      </c>
      <c r="C161" s="3" t="s">
        <v>1043</v>
      </c>
      <c r="D161" s="3"/>
      <c r="E161" s="3" t="s">
        <v>1044</v>
      </c>
      <c r="F161" s="3" t="s">
        <v>790</v>
      </c>
      <c r="G161" s="3" t="s">
        <v>790</v>
      </c>
      <c r="H161" s="3" t="s">
        <v>40</v>
      </c>
      <c r="I161" s="3" t="s">
        <v>683</v>
      </c>
      <c r="J161" s="3" t="s">
        <v>95</v>
      </c>
      <c r="K161" s="3" t="s">
        <v>43</v>
      </c>
      <c r="L161" s="3" t="s">
        <v>98</v>
      </c>
      <c r="M161" s="3" t="s">
        <v>99</v>
      </c>
      <c r="N161" s="3" t="s">
        <v>46</v>
      </c>
      <c r="O161" s="3" t="s">
        <v>1045</v>
      </c>
      <c r="P161" s="3" t="s">
        <v>1046</v>
      </c>
      <c r="Q161" s="3"/>
      <c r="R161" s="3" t="s">
        <v>102</v>
      </c>
      <c r="S161" s="3"/>
      <c r="T161" s="3"/>
      <c r="U161" s="3"/>
      <c r="V161" s="3" t="s">
        <v>50</v>
      </c>
      <c r="W161" s="3" t="s">
        <v>50</v>
      </c>
      <c r="X161" s="3" t="s">
        <v>688</v>
      </c>
      <c r="Y161" s="3" t="s">
        <v>689</v>
      </c>
      <c r="Z161" s="3" t="s">
        <v>690</v>
      </c>
    </row>
    <row r="162" customFormat="false" ht="15" hidden="false" customHeight="false" outlineLevel="0" collapsed="false">
      <c r="A162" s="3" t="s">
        <v>1047</v>
      </c>
      <c r="B162" s="3" t="s">
        <v>1048</v>
      </c>
      <c r="C162" s="3" t="s">
        <v>1049</v>
      </c>
      <c r="D162" s="3"/>
      <c r="E162" s="3" t="s">
        <v>1050</v>
      </c>
      <c r="F162" s="3" t="s">
        <v>89</v>
      </c>
      <c r="G162" s="3" t="s">
        <v>89</v>
      </c>
      <c r="H162" s="3" t="s">
        <v>40</v>
      </c>
      <c r="I162" s="3" t="s">
        <v>683</v>
      </c>
      <c r="J162" s="3" t="s">
        <v>95</v>
      </c>
      <c r="K162" s="3" t="s">
        <v>43</v>
      </c>
      <c r="L162" s="3" t="s">
        <v>98</v>
      </c>
      <c r="M162" s="3" t="s">
        <v>99</v>
      </c>
      <c r="N162" s="3" t="s">
        <v>46</v>
      </c>
      <c r="O162" s="3" t="s">
        <v>1051</v>
      </c>
      <c r="P162" s="3" t="s">
        <v>1052</v>
      </c>
      <c r="Q162" s="3"/>
      <c r="R162" s="3" t="s">
        <v>102</v>
      </c>
      <c r="S162" s="3"/>
      <c r="T162" s="3"/>
      <c r="U162" s="3"/>
      <c r="V162" s="3" t="s">
        <v>50</v>
      </c>
      <c r="W162" s="3" t="s">
        <v>50</v>
      </c>
      <c r="X162" s="3" t="s">
        <v>688</v>
      </c>
      <c r="Y162" s="3" t="s">
        <v>689</v>
      </c>
      <c r="Z162" s="3" t="s">
        <v>690</v>
      </c>
    </row>
    <row r="163" customFormat="false" ht="15" hidden="false" customHeight="false" outlineLevel="0" collapsed="false">
      <c r="A163" s="3" t="s">
        <v>1053</v>
      </c>
      <c r="B163" s="3" t="s">
        <v>1054</v>
      </c>
      <c r="C163" s="3" t="s">
        <v>705</v>
      </c>
      <c r="D163" s="3"/>
      <c r="E163" s="3" t="s">
        <v>706</v>
      </c>
      <c r="F163" s="3" t="s">
        <v>89</v>
      </c>
      <c r="G163" s="3" t="s">
        <v>89</v>
      </c>
      <c r="H163" s="3" t="s">
        <v>40</v>
      </c>
      <c r="I163" s="3" t="s">
        <v>683</v>
      </c>
      <c r="J163" s="3" t="s">
        <v>178</v>
      </c>
      <c r="K163" s="3" t="s">
        <v>179</v>
      </c>
      <c r="L163" s="3" t="s">
        <v>180</v>
      </c>
      <c r="M163" s="3"/>
      <c r="N163" s="3" t="s">
        <v>40</v>
      </c>
      <c r="O163" s="3" t="s">
        <v>1055</v>
      </c>
      <c r="P163" s="3" t="s">
        <v>1056</v>
      </c>
      <c r="Q163" s="3"/>
      <c r="R163" s="3"/>
      <c r="S163" s="3"/>
      <c r="T163" s="3"/>
      <c r="U163" s="3"/>
      <c r="V163" s="3" t="s">
        <v>50</v>
      </c>
      <c r="W163" s="3" t="s">
        <v>50</v>
      </c>
      <c r="X163" s="3" t="s">
        <v>688</v>
      </c>
      <c r="Y163" s="3" t="s">
        <v>689</v>
      </c>
      <c r="Z163" s="3" t="s">
        <v>690</v>
      </c>
    </row>
    <row r="164" customFormat="false" ht="15" hidden="false" customHeight="false" outlineLevel="0" collapsed="false">
      <c r="A164" s="3" t="s">
        <v>1057</v>
      </c>
      <c r="B164" s="3" t="s">
        <v>1058</v>
      </c>
      <c r="C164" s="3" t="s">
        <v>967</v>
      </c>
      <c r="D164" s="3"/>
      <c r="E164" s="3" t="s">
        <v>968</v>
      </c>
      <c r="F164" s="3" t="s">
        <v>83</v>
      </c>
      <c r="G164" s="3" t="s">
        <v>83</v>
      </c>
      <c r="H164" s="3" t="s">
        <v>40</v>
      </c>
      <c r="I164" s="3" t="s">
        <v>683</v>
      </c>
      <c r="J164" s="3" t="s">
        <v>178</v>
      </c>
      <c r="K164" s="3" t="s">
        <v>179</v>
      </c>
      <c r="L164" s="3" t="s">
        <v>180</v>
      </c>
      <c r="M164" s="3"/>
      <c r="N164" s="3" t="s">
        <v>40</v>
      </c>
      <c r="O164" s="3" t="s">
        <v>1059</v>
      </c>
      <c r="P164" s="3" t="s">
        <v>1060</v>
      </c>
      <c r="Q164" s="3"/>
      <c r="R164" s="3"/>
      <c r="S164" s="3"/>
      <c r="T164" s="3"/>
      <c r="U164" s="3"/>
      <c r="V164" s="3" t="s">
        <v>50</v>
      </c>
      <c r="W164" s="3" t="s">
        <v>50</v>
      </c>
      <c r="X164" s="3" t="s">
        <v>688</v>
      </c>
      <c r="Y164" s="3" t="s">
        <v>689</v>
      </c>
      <c r="Z164" s="3" t="s">
        <v>690</v>
      </c>
    </row>
    <row r="165" customFormat="false" ht="15" hidden="false" customHeight="false" outlineLevel="0" collapsed="false">
      <c r="A165" s="3" t="s">
        <v>1061</v>
      </c>
      <c r="B165" s="3" t="s">
        <v>1062</v>
      </c>
      <c r="C165" s="3" t="s">
        <v>1063</v>
      </c>
      <c r="D165" s="3"/>
      <c r="E165" s="3" t="s">
        <v>1064</v>
      </c>
      <c r="F165" s="3" t="s">
        <v>89</v>
      </c>
      <c r="G165" s="3" t="s">
        <v>89</v>
      </c>
      <c r="H165" s="3" t="s">
        <v>40</v>
      </c>
      <c r="I165" s="3" t="s">
        <v>683</v>
      </c>
      <c r="J165" s="3" t="s">
        <v>178</v>
      </c>
      <c r="K165" s="3" t="s">
        <v>179</v>
      </c>
      <c r="L165" s="3" t="s">
        <v>180</v>
      </c>
      <c r="M165" s="3"/>
      <c r="N165" s="3" t="s">
        <v>40</v>
      </c>
      <c r="O165" s="3" t="s">
        <v>1065</v>
      </c>
      <c r="P165" s="3" t="s">
        <v>1066</v>
      </c>
      <c r="Q165" s="3"/>
      <c r="R165" s="3"/>
      <c r="S165" s="3"/>
      <c r="T165" s="3"/>
      <c r="U165" s="3"/>
      <c r="V165" s="3" t="s">
        <v>50</v>
      </c>
      <c r="W165" s="3" t="s">
        <v>50</v>
      </c>
      <c r="X165" s="3" t="s">
        <v>688</v>
      </c>
      <c r="Y165" s="3" t="s">
        <v>689</v>
      </c>
      <c r="Z165" s="3" t="s">
        <v>690</v>
      </c>
    </row>
    <row r="166" customFormat="false" ht="15" hidden="false" customHeight="false" outlineLevel="0" collapsed="false">
      <c r="A166" s="3" t="s">
        <v>1067</v>
      </c>
      <c r="B166" s="3" t="s">
        <v>1068</v>
      </c>
      <c r="C166" s="3" t="s">
        <v>1069</v>
      </c>
      <c r="D166" s="3"/>
      <c r="E166" s="3" t="s">
        <v>1070</v>
      </c>
      <c r="F166" s="3" t="s">
        <v>89</v>
      </c>
      <c r="G166" s="3" t="s">
        <v>89</v>
      </c>
      <c r="H166" s="3" t="s">
        <v>40</v>
      </c>
      <c r="I166" s="3" t="s">
        <v>683</v>
      </c>
      <c r="J166" s="3" t="s">
        <v>1071</v>
      </c>
      <c r="K166" s="3" t="s">
        <v>75</v>
      </c>
      <c r="L166" s="3" t="s">
        <v>76</v>
      </c>
      <c r="M166" s="3"/>
      <c r="N166" s="3" t="s">
        <v>40</v>
      </c>
      <c r="O166" s="3" t="s">
        <v>1072</v>
      </c>
      <c r="P166" s="3" t="s">
        <v>1073</v>
      </c>
      <c r="Q166" s="3"/>
      <c r="R166" s="3" t="s">
        <v>1074</v>
      </c>
      <c r="S166" s="3"/>
      <c r="T166" s="3"/>
      <c r="U166" s="3"/>
      <c r="V166" s="3" t="s">
        <v>50</v>
      </c>
      <c r="W166" s="3" t="s">
        <v>50</v>
      </c>
      <c r="X166" s="3" t="s">
        <v>688</v>
      </c>
      <c r="Y166" s="3" t="s">
        <v>689</v>
      </c>
      <c r="Z166" s="3" t="s">
        <v>690</v>
      </c>
    </row>
    <row r="167" customFormat="false" ht="15" hidden="false" customHeight="false" outlineLevel="0" collapsed="false">
      <c r="A167" s="3" t="s">
        <v>1075</v>
      </c>
      <c r="B167" s="3" t="s">
        <v>1076</v>
      </c>
      <c r="C167" s="3" t="s">
        <v>1077</v>
      </c>
      <c r="D167" s="3"/>
      <c r="E167" s="3" t="s">
        <v>1078</v>
      </c>
      <c r="F167" s="3" t="s">
        <v>1079</v>
      </c>
      <c r="G167" s="3" t="s">
        <v>1079</v>
      </c>
      <c r="H167" s="3" t="s">
        <v>40</v>
      </c>
      <c r="I167" s="3" t="s">
        <v>683</v>
      </c>
      <c r="J167" s="3" t="s">
        <v>1071</v>
      </c>
      <c r="K167" s="3" t="s">
        <v>75</v>
      </c>
      <c r="L167" s="3" t="s">
        <v>76</v>
      </c>
      <c r="M167" s="3"/>
      <c r="N167" s="3" t="s">
        <v>40</v>
      </c>
      <c r="O167" s="3" t="s">
        <v>1080</v>
      </c>
      <c r="P167" s="3" t="s">
        <v>1081</v>
      </c>
      <c r="Q167" s="3"/>
      <c r="R167" s="3" t="s">
        <v>1074</v>
      </c>
      <c r="S167" s="3"/>
      <c r="T167" s="3"/>
      <c r="U167" s="3"/>
      <c r="V167" s="3" t="s">
        <v>50</v>
      </c>
      <c r="W167" s="3" t="s">
        <v>50</v>
      </c>
      <c r="X167" s="3" t="s">
        <v>688</v>
      </c>
      <c r="Y167" s="3" t="s">
        <v>689</v>
      </c>
      <c r="Z167" s="3" t="s">
        <v>690</v>
      </c>
    </row>
    <row r="168" customFormat="false" ht="15" hidden="false" customHeight="false" outlineLevel="0" collapsed="false">
      <c r="A168" s="3" t="s">
        <v>1082</v>
      </c>
      <c r="B168" s="3" t="s">
        <v>1083</v>
      </c>
      <c r="C168" s="3" t="s">
        <v>1084</v>
      </c>
      <c r="D168" s="3"/>
      <c r="E168" s="3" t="s">
        <v>1085</v>
      </c>
      <c r="F168" s="3" t="s">
        <v>89</v>
      </c>
      <c r="G168" s="3" t="s">
        <v>89</v>
      </c>
      <c r="H168" s="3" t="s">
        <v>40</v>
      </c>
      <c r="I168" s="3" t="s">
        <v>683</v>
      </c>
      <c r="J168" s="3" t="s">
        <v>1071</v>
      </c>
      <c r="K168" s="3" t="s">
        <v>75</v>
      </c>
      <c r="L168" s="3" t="s">
        <v>76</v>
      </c>
      <c r="M168" s="3"/>
      <c r="N168" s="3" t="s">
        <v>40</v>
      </c>
      <c r="O168" s="3" t="s">
        <v>1086</v>
      </c>
      <c r="P168" s="3" t="s">
        <v>1087</v>
      </c>
      <c r="Q168" s="3"/>
      <c r="R168" s="3" t="s">
        <v>1074</v>
      </c>
      <c r="S168" s="3"/>
      <c r="T168" s="3"/>
      <c r="U168" s="3"/>
      <c r="V168" s="3" t="s">
        <v>50</v>
      </c>
      <c r="W168" s="3" t="s">
        <v>50</v>
      </c>
      <c r="X168" s="3" t="s">
        <v>688</v>
      </c>
      <c r="Y168" s="3" t="s">
        <v>689</v>
      </c>
      <c r="Z168" s="3" t="s">
        <v>690</v>
      </c>
    </row>
    <row r="169" customFormat="false" ht="15" hidden="false" customHeight="false" outlineLevel="0" collapsed="false">
      <c r="A169" s="3" t="s">
        <v>1088</v>
      </c>
      <c r="B169" s="3" t="s">
        <v>1089</v>
      </c>
      <c r="C169" s="3" t="s">
        <v>1090</v>
      </c>
      <c r="D169" s="3"/>
      <c r="E169" s="3" t="s">
        <v>1091</v>
      </c>
      <c r="F169" s="3" t="s">
        <v>790</v>
      </c>
      <c r="G169" s="3" t="s">
        <v>790</v>
      </c>
      <c r="H169" s="3" t="s">
        <v>40</v>
      </c>
      <c r="I169" s="3" t="s">
        <v>683</v>
      </c>
      <c r="J169" s="3" t="s">
        <v>1071</v>
      </c>
      <c r="K169" s="3" t="s">
        <v>75</v>
      </c>
      <c r="L169" s="3" t="s">
        <v>76</v>
      </c>
      <c r="M169" s="3"/>
      <c r="N169" s="3" t="s">
        <v>40</v>
      </c>
      <c r="O169" s="3" t="s">
        <v>1092</v>
      </c>
      <c r="P169" s="3" t="s">
        <v>1093</v>
      </c>
      <c r="Q169" s="3"/>
      <c r="R169" s="3" t="s">
        <v>1074</v>
      </c>
      <c r="S169" s="3"/>
      <c r="T169" s="3"/>
      <c r="U169" s="3"/>
      <c r="V169" s="3" t="s">
        <v>50</v>
      </c>
      <c r="W169" s="3" t="s">
        <v>50</v>
      </c>
      <c r="X169" s="3" t="s">
        <v>688</v>
      </c>
      <c r="Y169" s="3" t="s">
        <v>689</v>
      </c>
      <c r="Z169" s="3" t="s">
        <v>690</v>
      </c>
    </row>
    <row r="170" customFormat="false" ht="15" hidden="false" customHeight="false" outlineLevel="0" collapsed="false">
      <c r="A170" s="5" t="s">
        <v>1094</v>
      </c>
      <c r="B170" s="5" t="s">
        <v>1095</v>
      </c>
      <c r="C170" s="5" t="s">
        <v>1096</v>
      </c>
      <c r="D170" s="5"/>
      <c r="E170" s="5" t="s">
        <v>1097</v>
      </c>
      <c r="F170" s="5" t="s">
        <v>166</v>
      </c>
      <c r="G170" s="5" t="s">
        <v>166</v>
      </c>
      <c r="H170" s="5" t="s">
        <v>46</v>
      </c>
      <c r="I170" s="5" t="s">
        <v>683</v>
      </c>
      <c r="J170" s="5" t="s">
        <v>1071</v>
      </c>
      <c r="K170" s="5" t="s">
        <v>75</v>
      </c>
      <c r="L170" s="5" t="s">
        <v>76</v>
      </c>
      <c r="M170" s="5"/>
      <c r="N170" s="5" t="s">
        <v>40</v>
      </c>
      <c r="O170" s="5" t="s">
        <v>1098</v>
      </c>
      <c r="P170" s="5" t="s">
        <v>1099</v>
      </c>
      <c r="Q170" s="5"/>
      <c r="R170" s="5" t="s">
        <v>1074</v>
      </c>
      <c r="S170" s="5"/>
      <c r="T170" s="5"/>
      <c r="U170" s="5"/>
      <c r="V170" s="5" t="s">
        <v>50</v>
      </c>
      <c r="W170" s="5" t="s">
        <v>50</v>
      </c>
      <c r="X170" s="5" t="s">
        <v>688</v>
      </c>
      <c r="Y170" s="5" t="s">
        <v>689</v>
      </c>
      <c r="Z170" s="5" t="s">
        <v>690</v>
      </c>
    </row>
    <row r="171" customFormat="false" ht="15" hidden="false" customHeight="false" outlineLevel="0" collapsed="false">
      <c r="A171" s="3" t="s">
        <v>1100</v>
      </c>
      <c r="B171" s="3" t="s">
        <v>1101</v>
      </c>
      <c r="C171" s="3" t="s">
        <v>1102</v>
      </c>
      <c r="D171" s="3"/>
      <c r="E171" s="3" t="s">
        <v>1103</v>
      </c>
      <c r="F171" s="3" t="s">
        <v>89</v>
      </c>
      <c r="G171" s="3" t="s">
        <v>89</v>
      </c>
      <c r="H171" s="3" t="s">
        <v>40</v>
      </c>
      <c r="I171" s="3" t="s">
        <v>683</v>
      </c>
      <c r="J171" s="3" t="s">
        <v>1071</v>
      </c>
      <c r="K171" s="3" t="s">
        <v>75</v>
      </c>
      <c r="L171" s="3" t="s">
        <v>76</v>
      </c>
      <c r="M171" s="3"/>
      <c r="N171" s="3" t="s">
        <v>40</v>
      </c>
      <c r="O171" s="3" t="s">
        <v>1104</v>
      </c>
      <c r="P171" s="3" t="s">
        <v>1105</v>
      </c>
      <c r="Q171" s="3"/>
      <c r="R171" s="3" t="s">
        <v>1074</v>
      </c>
      <c r="S171" s="3"/>
      <c r="T171" s="3"/>
      <c r="U171" s="3"/>
      <c r="V171" s="3" t="s">
        <v>50</v>
      </c>
      <c r="W171" s="3" t="s">
        <v>50</v>
      </c>
      <c r="X171" s="3" t="s">
        <v>688</v>
      </c>
      <c r="Y171" s="3" t="s">
        <v>689</v>
      </c>
      <c r="Z171" s="3" t="s">
        <v>690</v>
      </c>
    </row>
    <row r="172" customFormat="false" ht="15" hidden="false" customHeight="false" outlineLevel="0" collapsed="false">
      <c r="A172" s="3" t="s">
        <v>1106</v>
      </c>
      <c r="B172" s="3" t="s">
        <v>1107</v>
      </c>
      <c r="C172" s="3" t="s">
        <v>1108</v>
      </c>
      <c r="D172" s="3"/>
      <c r="E172" s="3" t="s">
        <v>1109</v>
      </c>
      <c r="F172" s="3" t="s">
        <v>83</v>
      </c>
      <c r="G172" s="3" t="s">
        <v>83</v>
      </c>
      <c r="H172" s="3" t="s">
        <v>40</v>
      </c>
      <c r="I172" s="3" t="s">
        <v>683</v>
      </c>
      <c r="J172" s="3" t="s">
        <v>1110</v>
      </c>
      <c r="K172" s="3" t="s">
        <v>75</v>
      </c>
      <c r="L172" s="3" t="s">
        <v>76</v>
      </c>
      <c r="M172" s="3"/>
      <c r="N172" s="3" t="s">
        <v>40</v>
      </c>
      <c r="O172" s="3" t="s">
        <v>1111</v>
      </c>
      <c r="P172" s="3" t="s">
        <v>1112</v>
      </c>
      <c r="Q172" s="3"/>
      <c r="R172" s="3" t="s">
        <v>1113</v>
      </c>
      <c r="S172" s="3"/>
      <c r="T172" s="3"/>
      <c r="U172" s="3"/>
      <c r="V172" s="3" t="s">
        <v>50</v>
      </c>
      <c r="W172" s="3" t="s">
        <v>50</v>
      </c>
      <c r="X172" s="3" t="s">
        <v>688</v>
      </c>
      <c r="Y172" s="3" t="s">
        <v>689</v>
      </c>
      <c r="Z172" s="3" t="s">
        <v>690</v>
      </c>
    </row>
    <row r="173" customFormat="false" ht="15" hidden="false" customHeight="false" outlineLevel="0" collapsed="false">
      <c r="A173" s="3" t="s">
        <v>1114</v>
      </c>
      <c r="B173" s="3" t="s">
        <v>1115</v>
      </c>
      <c r="C173" s="3" t="s">
        <v>705</v>
      </c>
      <c r="D173" s="3"/>
      <c r="E173" s="3" t="s">
        <v>706</v>
      </c>
      <c r="F173" s="3" t="s">
        <v>89</v>
      </c>
      <c r="G173" s="3" t="s">
        <v>89</v>
      </c>
      <c r="H173" s="3" t="s">
        <v>40</v>
      </c>
      <c r="I173" s="3" t="s">
        <v>683</v>
      </c>
      <c r="J173" s="3" t="s">
        <v>1110</v>
      </c>
      <c r="K173" s="3" t="s">
        <v>75</v>
      </c>
      <c r="L173" s="3" t="s">
        <v>76</v>
      </c>
      <c r="M173" s="3"/>
      <c r="N173" s="3" t="s">
        <v>40</v>
      </c>
      <c r="O173" s="3" t="s">
        <v>1116</v>
      </c>
      <c r="P173" s="3" t="s">
        <v>1117</v>
      </c>
      <c r="Q173" s="3"/>
      <c r="R173" s="3" t="s">
        <v>1113</v>
      </c>
      <c r="S173" s="3"/>
      <c r="T173" s="3"/>
      <c r="U173" s="3"/>
      <c r="V173" s="3" t="s">
        <v>50</v>
      </c>
      <c r="W173" s="3" t="s">
        <v>50</v>
      </c>
      <c r="X173" s="3" t="s">
        <v>688</v>
      </c>
      <c r="Y173" s="3" t="s">
        <v>689</v>
      </c>
      <c r="Z173" s="3" t="s">
        <v>690</v>
      </c>
    </row>
    <row r="174" customFormat="false" ht="15" hidden="false" customHeight="false" outlineLevel="0" collapsed="false">
      <c r="A174" s="3" t="s">
        <v>1118</v>
      </c>
      <c r="B174" s="3" t="s">
        <v>1119</v>
      </c>
      <c r="C174" s="3" t="s">
        <v>1120</v>
      </c>
      <c r="D174" s="3"/>
      <c r="E174" s="3" t="s">
        <v>1121</v>
      </c>
      <c r="F174" s="3" t="s">
        <v>83</v>
      </c>
      <c r="G174" s="3" t="s">
        <v>83</v>
      </c>
      <c r="H174" s="3" t="s">
        <v>40</v>
      </c>
      <c r="I174" s="3" t="s">
        <v>683</v>
      </c>
      <c r="J174" s="3" t="s">
        <v>1110</v>
      </c>
      <c r="K174" s="3" t="s">
        <v>75</v>
      </c>
      <c r="L174" s="3" t="s">
        <v>76</v>
      </c>
      <c r="M174" s="3"/>
      <c r="N174" s="3" t="s">
        <v>40</v>
      </c>
      <c r="O174" s="3" t="s">
        <v>1122</v>
      </c>
      <c r="P174" s="3" t="s">
        <v>1123</v>
      </c>
      <c r="Q174" s="3"/>
      <c r="R174" s="3" t="s">
        <v>1113</v>
      </c>
      <c r="S174" s="3"/>
      <c r="T174" s="3"/>
      <c r="U174" s="3"/>
      <c r="V174" s="3" t="s">
        <v>50</v>
      </c>
      <c r="W174" s="3" t="s">
        <v>50</v>
      </c>
      <c r="X174" s="3" t="s">
        <v>688</v>
      </c>
      <c r="Y174" s="3" t="s">
        <v>689</v>
      </c>
      <c r="Z174" s="3" t="s">
        <v>690</v>
      </c>
    </row>
    <row r="175" customFormat="false" ht="15" hidden="false" customHeight="false" outlineLevel="0" collapsed="false">
      <c r="A175" s="3" t="s">
        <v>1124</v>
      </c>
      <c r="B175" s="3" t="s">
        <v>1125</v>
      </c>
      <c r="C175" s="3" t="s">
        <v>1126</v>
      </c>
      <c r="D175" s="3"/>
      <c r="E175" s="3" t="s">
        <v>1127</v>
      </c>
      <c r="F175" s="3" t="s">
        <v>89</v>
      </c>
      <c r="G175" s="3" t="s">
        <v>89</v>
      </c>
      <c r="H175" s="3" t="s">
        <v>40</v>
      </c>
      <c r="I175" s="3" t="s">
        <v>683</v>
      </c>
      <c r="J175" s="3" t="s">
        <v>1110</v>
      </c>
      <c r="K175" s="3" t="s">
        <v>75</v>
      </c>
      <c r="L175" s="3" t="s">
        <v>76</v>
      </c>
      <c r="M175" s="3"/>
      <c r="N175" s="3" t="s">
        <v>40</v>
      </c>
      <c r="O175" s="3" t="s">
        <v>1128</v>
      </c>
      <c r="P175" s="3" t="s">
        <v>1129</v>
      </c>
      <c r="Q175" s="3"/>
      <c r="R175" s="3" t="s">
        <v>1113</v>
      </c>
      <c r="S175" s="3"/>
      <c r="T175" s="3"/>
      <c r="U175" s="3"/>
      <c r="V175" s="3" t="s">
        <v>50</v>
      </c>
      <c r="W175" s="3" t="s">
        <v>50</v>
      </c>
      <c r="X175" s="3" t="s">
        <v>688</v>
      </c>
      <c r="Y175" s="3" t="s">
        <v>689</v>
      </c>
      <c r="Z175" s="3" t="s">
        <v>690</v>
      </c>
    </row>
    <row r="176" customFormat="false" ht="15" hidden="false" customHeight="false" outlineLevel="0" collapsed="false">
      <c r="A176" s="3" t="s">
        <v>1130</v>
      </c>
      <c r="B176" s="3" t="s">
        <v>1131</v>
      </c>
      <c r="C176" s="3" t="s">
        <v>894</v>
      </c>
      <c r="D176" s="3"/>
      <c r="E176" s="3" t="s">
        <v>895</v>
      </c>
      <c r="F176" s="3" t="s">
        <v>57</v>
      </c>
      <c r="G176" s="3" t="s">
        <v>57</v>
      </c>
      <c r="H176" s="3" t="s">
        <v>40</v>
      </c>
      <c r="I176" s="3" t="s">
        <v>683</v>
      </c>
      <c r="J176" s="3" t="s">
        <v>1110</v>
      </c>
      <c r="K176" s="3" t="s">
        <v>75</v>
      </c>
      <c r="L176" s="3" t="s">
        <v>76</v>
      </c>
      <c r="M176" s="3"/>
      <c r="N176" s="3" t="s">
        <v>40</v>
      </c>
      <c r="O176" s="3" t="s">
        <v>1132</v>
      </c>
      <c r="P176" s="3" t="s">
        <v>1133</v>
      </c>
      <c r="Q176" s="3"/>
      <c r="R176" s="3" t="s">
        <v>1113</v>
      </c>
      <c r="S176" s="3"/>
      <c r="T176" s="3"/>
      <c r="U176" s="3"/>
      <c r="V176" s="3" t="s">
        <v>50</v>
      </c>
      <c r="W176" s="3" t="s">
        <v>50</v>
      </c>
      <c r="X176" s="3" t="s">
        <v>688</v>
      </c>
      <c r="Y176" s="3" t="s">
        <v>689</v>
      </c>
      <c r="Z176" s="3" t="s">
        <v>690</v>
      </c>
    </row>
    <row r="177" customFormat="false" ht="15" hidden="false" customHeight="false" outlineLevel="0" collapsed="false">
      <c r="A177" s="3" t="s">
        <v>1134</v>
      </c>
      <c r="B177" s="3" t="s">
        <v>1135</v>
      </c>
      <c r="C177" s="3" t="s">
        <v>1136</v>
      </c>
      <c r="D177" s="3"/>
      <c r="E177" s="3" t="s">
        <v>1137</v>
      </c>
      <c r="F177" s="3" t="s">
        <v>89</v>
      </c>
      <c r="G177" s="3" t="s">
        <v>89</v>
      </c>
      <c r="H177" s="3" t="s">
        <v>40</v>
      </c>
      <c r="I177" s="3" t="s">
        <v>683</v>
      </c>
      <c r="J177" s="3" t="s">
        <v>1110</v>
      </c>
      <c r="K177" s="3" t="s">
        <v>75</v>
      </c>
      <c r="L177" s="3" t="s">
        <v>76</v>
      </c>
      <c r="M177" s="3"/>
      <c r="N177" s="3" t="s">
        <v>40</v>
      </c>
      <c r="O177" s="3" t="s">
        <v>1138</v>
      </c>
      <c r="P177" s="3" t="s">
        <v>1139</v>
      </c>
      <c r="Q177" s="3"/>
      <c r="R177" s="3" t="s">
        <v>1113</v>
      </c>
      <c r="S177" s="3"/>
      <c r="T177" s="3"/>
      <c r="U177" s="3"/>
      <c r="V177" s="3" t="s">
        <v>50</v>
      </c>
      <c r="W177" s="3" t="s">
        <v>50</v>
      </c>
      <c r="X177" s="3" t="s">
        <v>688</v>
      </c>
      <c r="Y177" s="3" t="s">
        <v>689</v>
      </c>
      <c r="Z177" s="3" t="s">
        <v>690</v>
      </c>
    </row>
    <row r="178" customFormat="false" ht="15" hidden="false" customHeight="false" outlineLevel="0" collapsed="false">
      <c r="A178" s="3" t="s">
        <v>1140</v>
      </c>
      <c r="B178" s="3" t="s">
        <v>1141</v>
      </c>
      <c r="C178" s="3" t="s">
        <v>900</v>
      </c>
      <c r="D178" s="3"/>
      <c r="E178" s="3" t="s">
        <v>901</v>
      </c>
      <c r="F178" s="3" t="s">
        <v>83</v>
      </c>
      <c r="G178" s="3" t="s">
        <v>83</v>
      </c>
      <c r="H178" s="3" t="s">
        <v>40</v>
      </c>
      <c r="I178" s="3" t="s">
        <v>683</v>
      </c>
      <c r="J178" s="3" t="s">
        <v>1110</v>
      </c>
      <c r="K178" s="3" t="s">
        <v>75</v>
      </c>
      <c r="L178" s="3" t="s">
        <v>76</v>
      </c>
      <c r="M178" s="3"/>
      <c r="N178" s="3" t="s">
        <v>40</v>
      </c>
      <c r="O178" s="3" t="s">
        <v>1142</v>
      </c>
      <c r="P178" s="3" t="s">
        <v>1143</v>
      </c>
      <c r="Q178" s="3"/>
      <c r="R178" s="3" t="s">
        <v>1113</v>
      </c>
      <c r="S178" s="3"/>
      <c r="T178" s="3"/>
      <c r="U178" s="3"/>
      <c r="V178" s="3" t="s">
        <v>50</v>
      </c>
      <c r="W178" s="3" t="s">
        <v>50</v>
      </c>
      <c r="X178" s="3" t="s">
        <v>688</v>
      </c>
      <c r="Y178" s="3" t="s">
        <v>689</v>
      </c>
      <c r="Z178" s="3" t="s">
        <v>690</v>
      </c>
    </row>
    <row r="179" customFormat="false" ht="15" hidden="false" customHeight="false" outlineLevel="0" collapsed="false">
      <c r="A179" s="3" t="s">
        <v>1144</v>
      </c>
      <c r="B179" s="3" t="s">
        <v>1145</v>
      </c>
      <c r="C179" s="3" t="s">
        <v>906</v>
      </c>
      <c r="D179" s="3"/>
      <c r="E179" s="3" t="s">
        <v>907</v>
      </c>
      <c r="F179" s="3" t="s">
        <v>89</v>
      </c>
      <c r="G179" s="3" t="s">
        <v>89</v>
      </c>
      <c r="H179" s="3" t="s">
        <v>40</v>
      </c>
      <c r="I179" s="3" t="s">
        <v>683</v>
      </c>
      <c r="J179" s="3" t="s">
        <v>1110</v>
      </c>
      <c r="K179" s="3" t="s">
        <v>75</v>
      </c>
      <c r="L179" s="3" t="s">
        <v>76</v>
      </c>
      <c r="M179" s="3"/>
      <c r="N179" s="3" t="s">
        <v>40</v>
      </c>
      <c r="O179" s="3" t="s">
        <v>1146</v>
      </c>
      <c r="P179" s="3" t="s">
        <v>1147</v>
      </c>
      <c r="Q179" s="3"/>
      <c r="R179" s="3" t="s">
        <v>1113</v>
      </c>
      <c r="S179" s="3"/>
      <c r="T179" s="3"/>
      <c r="U179" s="3"/>
      <c r="V179" s="3" t="s">
        <v>50</v>
      </c>
      <c r="W179" s="3" t="s">
        <v>50</v>
      </c>
      <c r="X179" s="3" t="s">
        <v>688</v>
      </c>
      <c r="Y179" s="3" t="s">
        <v>689</v>
      </c>
      <c r="Z179" s="3" t="s">
        <v>690</v>
      </c>
    </row>
    <row r="180" customFormat="false" ht="15" hidden="false" customHeight="false" outlineLevel="0" collapsed="false">
      <c r="A180" s="3" t="s">
        <v>1148</v>
      </c>
      <c r="B180" s="3" t="s">
        <v>1149</v>
      </c>
      <c r="C180" s="3" t="s">
        <v>757</v>
      </c>
      <c r="D180" s="3"/>
      <c r="E180" s="3" t="s">
        <v>758</v>
      </c>
      <c r="F180" s="3" t="s">
        <v>89</v>
      </c>
      <c r="G180" s="3" t="s">
        <v>89</v>
      </c>
      <c r="H180" s="3" t="s">
        <v>40</v>
      </c>
      <c r="I180" s="3" t="s">
        <v>683</v>
      </c>
      <c r="J180" s="3" t="s">
        <v>417</v>
      </c>
      <c r="K180" s="3" t="s">
        <v>43</v>
      </c>
      <c r="L180" s="3" t="s">
        <v>59</v>
      </c>
      <c r="M180" s="3" t="s">
        <v>418</v>
      </c>
      <c r="N180" s="3" t="s">
        <v>46</v>
      </c>
      <c r="O180" s="3" t="s">
        <v>1150</v>
      </c>
      <c r="P180" s="3" t="s">
        <v>1151</v>
      </c>
      <c r="Q180" s="3"/>
      <c r="R180" s="3" t="s">
        <v>422</v>
      </c>
      <c r="S180" s="3"/>
      <c r="T180" s="3"/>
      <c r="U180" s="3"/>
      <c r="V180" s="3" t="s">
        <v>50</v>
      </c>
      <c r="W180" s="3" t="s">
        <v>50</v>
      </c>
      <c r="X180" s="3" t="s">
        <v>688</v>
      </c>
      <c r="Y180" s="3" t="s">
        <v>689</v>
      </c>
      <c r="Z180" s="3" t="s">
        <v>690</v>
      </c>
    </row>
    <row r="181" customFormat="false" ht="15" hidden="false" customHeight="false" outlineLevel="0" collapsed="false">
      <c r="A181" s="3" t="s">
        <v>1152</v>
      </c>
      <c r="B181" s="3" t="s">
        <v>1153</v>
      </c>
      <c r="C181" s="3" t="s">
        <v>1154</v>
      </c>
      <c r="D181" s="3"/>
      <c r="E181" s="3" t="s">
        <v>1155</v>
      </c>
      <c r="F181" s="3" t="s">
        <v>1156</v>
      </c>
      <c r="G181" s="3" t="s">
        <v>1156</v>
      </c>
      <c r="H181" s="3" t="s">
        <v>40</v>
      </c>
      <c r="I181" s="3" t="s">
        <v>683</v>
      </c>
      <c r="J181" s="3" t="s">
        <v>417</v>
      </c>
      <c r="K181" s="3" t="s">
        <v>43</v>
      </c>
      <c r="L181" s="3" t="s">
        <v>59</v>
      </c>
      <c r="M181" s="3" t="s">
        <v>418</v>
      </c>
      <c r="N181" s="3" t="s">
        <v>46</v>
      </c>
      <c r="O181" s="3" t="s">
        <v>1157</v>
      </c>
      <c r="P181" s="3" t="s">
        <v>1158</v>
      </c>
      <c r="Q181" s="3"/>
      <c r="R181" s="3" t="s">
        <v>422</v>
      </c>
      <c r="S181" s="3"/>
      <c r="T181" s="3"/>
      <c r="U181" s="3"/>
      <c r="V181" s="3" t="s">
        <v>50</v>
      </c>
      <c r="W181" s="3" t="s">
        <v>50</v>
      </c>
      <c r="X181" s="3" t="s">
        <v>688</v>
      </c>
      <c r="Y181" s="3" t="s">
        <v>689</v>
      </c>
      <c r="Z181" s="3" t="s">
        <v>690</v>
      </c>
    </row>
    <row r="182" customFormat="false" ht="15" hidden="false" customHeight="false" outlineLevel="0" collapsed="false">
      <c r="A182" s="3" t="s">
        <v>1159</v>
      </c>
      <c r="B182" s="3" t="s">
        <v>1160</v>
      </c>
      <c r="C182" s="3" t="s">
        <v>1161</v>
      </c>
      <c r="D182" s="3"/>
      <c r="E182" s="3" t="s">
        <v>1162</v>
      </c>
      <c r="F182" s="3" t="s">
        <v>89</v>
      </c>
      <c r="G182" s="3" t="s">
        <v>89</v>
      </c>
      <c r="H182" s="3" t="s">
        <v>40</v>
      </c>
      <c r="I182" s="3" t="s">
        <v>683</v>
      </c>
      <c r="J182" s="3" t="s">
        <v>417</v>
      </c>
      <c r="K182" s="3" t="s">
        <v>43</v>
      </c>
      <c r="L182" s="3" t="s">
        <v>59</v>
      </c>
      <c r="M182" s="3" t="s">
        <v>418</v>
      </c>
      <c r="N182" s="3" t="s">
        <v>46</v>
      </c>
      <c r="O182" s="3" t="s">
        <v>1163</v>
      </c>
      <c r="P182" s="3" t="s">
        <v>1164</v>
      </c>
      <c r="Q182" s="3"/>
      <c r="R182" s="3" t="s">
        <v>422</v>
      </c>
      <c r="S182" s="3"/>
      <c r="T182" s="3"/>
      <c r="U182" s="3"/>
      <c r="V182" s="3" t="s">
        <v>50</v>
      </c>
      <c r="W182" s="3" t="s">
        <v>50</v>
      </c>
      <c r="X182" s="3" t="s">
        <v>688</v>
      </c>
      <c r="Y182" s="3" t="s">
        <v>689</v>
      </c>
      <c r="Z182" s="3" t="s">
        <v>690</v>
      </c>
    </row>
    <row r="183" customFormat="false" ht="15" hidden="false" customHeight="false" outlineLevel="0" collapsed="false">
      <c r="A183" s="3" t="s">
        <v>1165</v>
      </c>
      <c r="B183" s="3" t="s">
        <v>1166</v>
      </c>
      <c r="C183" s="3" t="s">
        <v>1167</v>
      </c>
      <c r="D183" s="3"/>
      <c r="E183" s="3" t="s">
        <v>1168</v>
      </c>
      <c r="F183" s="3" t="s">
        <v>89</v>
      </c>
      <c r="G183" s="3" t="s">
        <v>89</v>
      </c>
      <c r="H183" s="3" t="s">
        <v>40</v>
      </c>
      <c r="I183" s="3" t="s">
        <v>683</v>
      </c>
      <c r="J183" s="3" t="s">
        <v>417</v>
      </c>
      <c r="K183" s="3" t="s">
        <v>43</v>
      </c>
      <c r="L183" s="3" t="s">
        <v>59</v>
      </c>
      <c r="M183" s="3" t="s">
        <v>418</v>
      </c>
      <c r="N183" s="3" t="s">
        <v>46</v>
      </c>
      <c r="O183" s="3" t="s">
        <v>1169</v>
      </c>
      <c r="P183" s="3" t="s">
        <v>1170</v>
      </c>
      <c r="Q183" s="3"/>
      <c r="R183" s="3" t="s">
        <v>422</v>
      </c>
      <c r="S183" s="3"/>
      <c r="T183" s="3"/>
      <c r="U183" s="3"/>
      <c r="V183" s="3" t="s">
        <v>50</v>
      </c>
      <c r="W183" s="3" t="s">
        <v>50</v>
      </c>
      <c r="X183" s="3" t="s">
        <v>688</v>
      </c>
      <c r="Y183" s="3" t="s">
        <v>689</v>
      </c>
      <c r="Z183" s="3" t="s">
        <v>690</v>
      </c>
    </row>
    <row r="184" customFormat="false" ht="15" hidden="false" customHeight="false" outlineLevel="0" collapsed="false">
      <c r="A184" s="3" t="s">
        <v>1171</v>
      </c>
      <c r="B184" s="3" t="s">
        <v>1172</v>
      </c>
      <c r="C184" s="3" t="s">
        <v>1173</v>
      </c>
      <c r="D184" s="3"/>
      <c r="E184" s="3" t="s">
        <v>1174</v>
      </c>
      <c r="F184" s="3" t="s">
        <v>822</v>
      </c>
      <c r="G184" s="3" t="s">
        <v>822</v>
      </c>
      <c r="H184" s="3" t="s">
        <v>40</v>
      </c>
      <c r="I184" s="3" t="s">
        <v>683</v>
      </c>
      <c r="J184" s="3" t="s">
        <v>417</v>
      </c>
      <c r="K184" s="3" t="s">
        <v>43</v>
      </c>
      <c r="L184" s="3" t="s">
        <v>59</v>
      </c>
      <c r="M184" s="3" t="s">
        <v>418</v>
      </c>
      <c r="N184" s="3" t="s">
        <v>46</v>
      </c>
      <c r="O184" s="3" t="s">
        <v>1175</v>
      </c>
      <c r="P184" s="3" t="s">
        <v>1176</v>
      </c>
      <c r="Q184" s="3"/>
      <c r="R184" s="3" t="s">
        <v>422</v>
      </c>
      <c r="S184" s="3"/>
      <c r="T184" s="3"/>
      <c r="U184" s="3"/>
      <c r="V184" s="3" t="s">
        <v>50</v>
      </c>
      <c r="W184" s="3" t="s">
        <v>50</v>
      </c>
      <c r="X184" s="3" t="s">
        <v>688</v>
      </c>
      <c r="Y184" s="3" t="s">
        <v>689</v>
      </c>
      <c r="Z184" s="3" t="s">
        <v>690</v>
      </c>
    </row>
    <row r="185" customFormat="false" ht="15" hidden="false" customHeight="false" outlineLevel="0" collapsed="false">
      <c r="A185" s="3" t="s">
        <v>1177</v>
      </c>
      <c r="B185" s="3" t="s">
        <v>1178</v>
      </c>
      <c r="C185" s="3" t="s">
        <v>1179</v>
      </c>
      <c r="D185" s="3"/>
      <c r="E185" s="3" t="s">
        <v>1180</v>
      </c>
      <c r="F185" s="3" t="s">
        <v>719</v>
      </c>
      <c r="G185" s="3" t="s">
        <v>719</v>
      </c>
      <c r="H185" s="3" t="s">
        <v>40</v>
      </c>
      <c r="I185" s="3" t="s">
        <v>683</v>
      </c>
      <c r="J185" s="3" t="s">
        <v>122</v>
      </c>
      <c r="K185" s="3" t="s">
        <v>75</v>
      </c>
      <c r="L185" s="3" t="s">
        <v>76</v>
      </c>
      <c r="M185" s="3"/>
      <c r="N185" s="3" t="s">
        <v>40</v>
      </c>
      <c r="O185" s="3" t="s">
        <v>1181</v>
      </c>
      <c r="P185" s="3" t="s">
        <v>1182</v>
      </c>
      <c r="Q185" s="3"/>
      <c r="R185" s="3" t="s">
        <v>126</v>
      </c>
      <c r="S185" s="3"/>
      <c r="T185" s="3"/>
      <c r="U185" s="3"/>
      <c r="V185" s="3" t="s">
        <v>50</v>
      </c>
      <c r="W185" s="3" t="s">
        <v>50</v>
      </c>
      <c r="X185" s="3" t="s">
        <v>688</v>
      </c>
      <c r="Y185" s="3" t="s">
        <v>689</v>
      </c>
      <c r="Z185" s="3" t="s">
        <v>690</v>
      </c>
    </row>
    <row r="186" customFormat="false" ht="15" hidden="false" customHeight="false" outlineLevel="0" collapsed="false">
      <c r="A186" s="3" t="s">
        <v>1183</v>
      </c>
      <c r="B186" s="3" t="s">
        <v>1184</v>
      </c>
      <c r="C186" s="3" t="s">
        <v>705</v>
      </c>
      <c r="D186" s="3"/>
      <c r="E186" s="3" t="s">
        <v>706</v>
      </c>
      <c r="F186" s="3" t="s">
        <v>89</v>
      </c>
      <c r="G186" s="3" t="s">
        <v>89</v>
      </c>
      <c r="H186" s="3" t="s">
        <v>40</v>
      </c>
      <c r="I186" s="3" t="s">
        <v>683</v>
      </c>
      <c r="J186" s="3" t="s">
        <v>122</v>
      </c>
      <c r="K186" s="3" t="s">
        <v>75</v>
      </c>
      <c r="L186" s="3" t="s">
        <v>76</v>
      </c>
      <c r="M186" s="3"/>
      <c r="N186" s="3" t="s">
        <v>40</v>
      </c>
      <c r="O186" s="3" t="s">
        <v>1185</v>
      </c>
      <c r="P186" s="3" t="s">
        <v>1186</v>
      </c>
      <c r="Q186" s="3"/>
      <c r="R186" s="3" t="s">
        <v>126</v>
      </c>
      <c r="S186" s="3"/>
      <c r="T186" s="3"/>
      <c r="U186" s="3"/>
      <c r="V186" s="3" t="s">
        <v>50</v>
      </c>
      <c r="W186" s="3" t="s">
        <v>50</v>
      </c>
      <c r="X186" s="3" t="s">
        <v>688</v>
      </c>
      <c r="Y186" s="3" t="s">
        <v>689</v>
      </c>
      <c r="Z186" s="3" t="s">
        <v>690</v>
      </c>
    </row>
    <row r="187" customFormat="false" ht="15" hidden="false" customHeight="false" outlineLevel="0" collapsed="false">
      <c r="A187" s="3" t="s">
        <v>1187</v>
      </c>
      <c r="B187" s="3" t="s">
        <v>1188</v>
      </c>
      <c r="C187" s="3" t="s">
        <v>757</v>
      </c>
      <c r="D187" s="3"/>
      <c r="E187" s="3" t="s">
        <v>758</v>
      </c>
      <c r="F187" s="3" t="s">
        <v>89</v>
      </c>
      <c r="G187" s="3" t="s">
        <v>89</v>
      </c>
      <c r="H187" s="3" t="s">
        <v>40</v>
      </c>
      <c r="I187" s="3" t="s">
        <v>683</v>
      </c>
      <c r="J187" s="3" t="s">
        <v>122</v>
      </c>
      <c r="K187" s="3" t="s">
        <v>75</v>
      </c>
      <c r="L187" s="3" t="s">
        <v>76</v>
      </c>
      <c r="M187" s="3"/>
      <c r="N187" s="3" t="s">
        <v>40</v>
      </c>
      <c r="O187" s="3" t="s">
        <v>1189</v>
      </c>
      <c r="P187" s="3" t="s">
        <v>1190</v>
      </c>
      <c r="Q187" s="3"/>
      <c r="R187" s="3" t="s">
        <v>126</v>
      </c>
      <c r="S187" s="3"/>
      <c r="T187" s="3"/>
      <c r="U187" s="3"/>
      <c r="V187" s="3" t="s">
        <v>50</v>
      </c>
      <c r="W187" s="3" t="s">
        <v>50</v>
      </c>
      <c r="X187" s="3" t="s">
        <v>688</v>
      </c>
      <c r="Y187" s="3" t="s">
        <v>689</v>
      </c>
      <c r="Z187" s="3" t="s">
        <v>690</v>
      </c>
    </row>
    <row r="188" customFormat="false" ht="15" hidden="false" customHeight="false" outlineLevel="0" collapsed="false">
      <c r="A188" s="3" t="s">
        <v>1191</v>
      </c>
      <c r="B188" s="3" t="s">
        <v>1192</v>
      </c>
      <c r="C188" s="3" t="s">
        <v>1193</v>
      </c>
      <c r="D188" s="3"/>
      <c r="E188" s="3" t="s">
        <v>1194</v>
      </c>
      <c r="F188" s="3" t="s">
        <v>89</v>
      </c>
      <c r="G188" s="3" t="s">
        <v>89</v>
      </c>
      <c r="H188" s="3" t="s">
        <v>40</v>
      </c>
      <c r="I188" s="3" t="s">
        <v>683</v>
      </c>
      <c r="J188" s="3" t="s">
        <v>122</v>
      </c>
      <c r="K188" s="3" t="s">
        <v>75</v>
      </c>
      <c r="L188" s="3" t="s">
        <v>76</v>
      </c>
      <c r="M188" s="3"/>
      <c r="N188" s="3" t="s">
        <v>40</v>
      </c>
      <c r="O188" s="3" t="s">
        <v>1195</v>
      </c>
      <c r="P188" s="3" t="s">
        <v>1196</v>
      </c>
      <c r="Q188" s="3"/>
      <c r="R188" s="3" t="s">
        <v>126</v>
      </c>
      <c r="S188" s="3"/>
      <c r="T188" s="3"/>
      <c r="U188" s="3"/>
      <c r="V188" s="3" t="s">
        <v>50</v>
      </c>
      <c r="W188" s="3" t="s">
        <v>50</v>
      </c>
      <c r="X188" s="3" t="s">
        <v>688</v>
      </c>
      <c r="Y188" s="3" t="s">
        <v>689</v>
      </c>
      <c r="Z188" s="3" t="s">
        <v>690</v>
      </c>
    </row>
    <row r="189" customFormat="false" ht="15" hidden="false" customHeight="false" outlineLevel="0" collapsed="false">
      <c r="A189" s="3" t="s">
        <v>1197</v>
      </c>
      <c r="B189" s="3" t="s">
        <v>1198</v>
      </c>
      <c r="C189" s="3" t="s">
        <v>711</v>
      </c>
      <c r="D189" s="3"/>
      <c r="E189" s="3" t="s">
        <v>712</v>
      </c>
      <c r="F189" s="3" t="s">
        <v>89</v>
      </c>
      <c r="G189" s="3" t="s">
        <v>89</v>
      </c>
      <c r="H189" s="3" t="s">
        <v>40</v>
      </c>
      <c r="I189" s="3" t="s">
        <v>683</v>
      </c>
      <c r="J189" s="3" t="s">
        <v>122</v>
      </c>
      <c r="K189" s="3" t="s">
        <v>75</v>
      </c>
      <c r="L189" s="3" t="s">
        <v>76</v>
      </c>
      <c r="M189" s="3"/>
      <c r="N189" s="3" t="s">
        <v>40</v>
      </c>
      <c r="O189" s="3" t="s">
        <v>1199</v>
      </c>
      <c r="P189" s="3" t="s">
        <v>1200</v>
      </c>
      <c r="Q189" s="3"/>
      <c r="R189" s="3" t="s">
        <v>126</v>
      </c>
      <c r="S189" s="3"/>
      <c r="T189" s="3"/>
      <c r="U189" s="3"/>
      <c r="V189" s="3" t="s">
        <v>50</v>
      </c>
      <c r="W189" s="3" t="s">
        <v>50</v>
      </c>
      <c r="X189" s="3" t="s">
        <v>688</v>
      </c>
      <c r="Y189" s="3" t="s">
        <v>689</v>
      </c>
      <c r="Z189" s="3" t="s">
        <v>690</v>
      </c>
    </row>
    <row r="190" customFormat="false" ht="15" hidden="false" customHeight="false" outlineLevel="0" collapsed="false">
      <c r="A190" s="3" t="s">
        <v>1201</v>
      </c>
      <c r="B190" s="3" t="s">
        <v>1202</v>
      </c>
      <c r="C190" s="3" t="s">
        <v>1203</v>
      </c>
      <c r="D190" s="3"/>
      <c r="E190" s="3" t="s">
        <v>1204</v>
      </c>
      <c r="F190" s="3" t="s">
        <v>89</v>
      </c>
      <c r="G190" s="3" t="s">
        <v>89</v>
      </c>
      <c r="H190" s="3" t="s">
        <v>40</v>
      </c>
      <c r="I190" s="3" t="s">
        <v>683</v>
      </c>
      <c r="J190" s="3" t="s">
        <v>122</v>
      </c>
      <c r="K190" s="3" t="s">
        <v>75</v>
      </c>
      <c r="L190" s="3" t="s">
        <v>76</v>
      </c>
      <c r="M190" s="3"/>
      <c r="N190" s="3" t="s">
        <v>40</v>
      </c>
      <c r="O190" s="3" t="s">
        <v>1205</v>
      </c>
      <c r="P190" s="3" t="s">
        <v>1206</v>
      </c>
      <c r="Q190" s="3"/>
      <c r="R190" s="3" t="s">
        <v>126</v>
      </c>
      <c r="S190" s="3"/>
      <c r="T190" s="3"/>
      <c r="U190" s="3"/>
      <c r="V190" s="3" t="s">
        <v>50</v>
      </c>
      <c r="W190" s="3" t="s">
        <v>50</v>
      </c>
      <c r="X190" s="3" t="s">
        <v>688</v>
      </c>
      <c r="Y190" s="3" t="s">
        <v>689</v>
      </c>
      <c r="Z190" s="3" t="s">
        <v>690</v>
      </c>
    </row>
    <row r="191" customFormat="false" ht="15" hidden="false" customHeight="false" outlineLevel="0" collapsed="false">
      <c r="A191" s="3" t="s">
        <v>1207</v>
      </c>
      <c r="B191" s="3" t="s">
        <v>1208</v>
      </c>
      <c r="C191" s="3" t="s">
        <v>1209</v>
      </c>
      <c r="D191" s="3"/>
      <c r="E191" s="3" t="s">
        <v>1210</v>
      </c>
      <c r="F191" s="3" t="s">
        <v>89</v>
      </c>
      <c r="G191" s="3" t="s">
        <v>89</v>
      </c>
      <c r="H191" s="3" t="s">
        <v>40</v>
      </c>
      <c r="I191" s="3" t="s">
        <v>683</v>
      </c>
      <c r="J191" s="3" t="s">
        <v>167</v>
      </c>
      <c r="K191" s="3" t="s">
        <v>75</v>
      </c>
      <c r="L191" s="3" t="s">
        <v>76</v>
      </c>
      <c r="M191" s="3"/>
      <c r="N191" s="3" t="s">
        <v>40</v>
      </c>
      <c r="O191" s="3" t="s">
        <v>1211</v>
      </c>
      <c r="P191" s="3" t="s">
        <v>1212</v>
      </c>
      <c r="Q191" s="3"/>
      <c r="R191" s="3" t="s">
        <v>1213</v>
      </c>
      <c r="S191" s="3"/>
      <c r="T191" s="3"/>
      <c r="U191" s="3"/>
      <c r="V191" s="3" t="s">
        <v>50</v>
      </c>
      <c r="W191" s="3" t="s">
        <v>50</v>
      </c>
      <c r="X191" s="3" t="s">
        <v>688</v>
      </c>
      <c r="Y191" s="3" t="s">
        <v>689</v>
      </c>
      <c r="Z191" s="3" t="s">
        <v>690</v>
      </c>
    </row>
    <row r="192" customFormat="false" ht="15" hidden="false" customHeight="false" outlineLevel="0" collapsed="false">
      <c r="A192" s="3" t="s">
        <v>1214</v>
      </c>
      <c r="B192" s="3" t="s">
        <v>1215</v>
      </c>
      <c r="C192" s="3" t="s">
        <v>1216</v>
      </c>
      <c r="D192" s="3"/>
      <c r="E192" s="3" t="s">
        <v>1217</v>
      </c>
      <c r="F192" s="3" t="s">
        <v>89</v>
      </c>
      <c r="G192" s="3" t="s">
        <v>89</v>
      </c>
      <c r="H192" s="3" t="s">
        <v>40</v>
      </c>
      <c r="I192" s="3" t="s">
        <v>683</v>
      </c>
      <c r="J192" s="3" t="s">
        <v>167</v>
      </c>
      <c r="K192" s="3" t="s">
        <v>75</v>
      </c>
      <c r="L192" s="3" t="s">
        <v>76</v>
      </c>
      <c r="M192" s="3"/>
      <c r="N192" s="3" t="s">
        <v>40</v>
      </c>
      <c r="O192" s="3" t="s">
        <v>1218</v>
      </c>
      <c r="P192" s="3" t="s">
        <v>1219</v>
      </c>
      <c r="Q192" s="3"/>
      <c r="R192" s="3" t="s">
        <v>1213</v>
      </c>
      <c r="S192" s="3"/>
      <c r="T192" s="3"/>
      <c r="U192" s="3"/>
      <c r="V192" s="3" t="s">
        <v>50</v>
      </c>
      <c r="W192" s="3" t="s">
        <v>50</v>
      </c>
      <c r="X192" s="3" t="s">
        <v>688</v>
      </c>
      <c r="Y192" s="3" t="s">
        <v>689</v>
      </c>
      <c r="Z192" s="3" t="s">
        <v>690</v>
      </c>
    </row>
    <row r="193" customFormat="false" ht="15" hidden="false" customHeight="false" outlineLevel="0" collapsed="false">
      <c r="A193" s="3" t="s">
        <v>1220</v>
      </c>
      <c r="B193" s="3" t="s">
        <v>1221</v>
      </c>
      <c r="C193" s="3" t="s">
        <v>1222</v>
      </c>
      <c r="D193" s="3"/>
      <c r="E193" s="3" t="s">
        <v>1223</v>
      </c>
      <c r="F193" s="3" t="s">
        <v>89</v>
      </c>
      <c r="G193" s="3" t="s">
        <v>89</v>
      </c>
      <c r="H193" s="3" t="s">
        <v>40</v>
      </c>
      <c r="I193" s="3" t="s">
        <v>683</v>
      </c>
      <c r="J193" s="3" t="s">
        <v>167</v>
      </c>
      <c r="K193" s="3" t="s">
        <v>75</v>
      </c>
      <c r="L193" s="3" t="s">
        <v>76</v>
      </c>
      <c r="M193" s="3"/>
      <c r="N193" s="3" t="s">
        <v>40</v>
      </c>
      <c r="O193" s="3" t="s">
        <v>1224</v>
      </c>
      <c r="P193" s="3" t="s">
        <v>1225</v>
      </c>
      <c r="Q193" s="3"/>
      <c r="R193" s="3" t="s">
        <v>1213</v>
      </c>
      <c r="S193" s="3"/>
      <c r="T193" s="3"/>
      <c r="U193" s="3"/>
      <c r="V193" s="3" t="s">
        <v>50</v>
      </c>
      <c r="W193" s="3" t="s">
        <v>50</v>
      </c>
      <c r="X193" s="3" t="s">
        <v>688</v>
      </c>
      <c r="Y193" s="3" t="s">
        <v>689</v>
      </c>
      <c r="Z193" s="3" t="s">
        <v>690</v>
      </c>
    </row>
    <row r="194" customFormat="false" ht="15" hidden="false" customHeight="false" outlineLevel="0" collapsed="false">
      <c r="A194" s="3" t="s">
        <v>1226</v>
      </c>
      <c r="B194" s="3" t="s">
        <v>1227</v>
      </c>
      <c r="C194" s="3" t="s">
        <v>1228</v>
      </c>
      <c r="D194" s="3"/>
      <c r="E194" s="3" t="s">
        <v>1229</v>
      </c>
      <c r="F194" s="3" t="s">
        <v>695</v>
      </c>
      <c r="G194" s="3" t="s">
        <v>695</v>
      </c>
      <c r="H194" s="3" t="s">
        <v>40</v>
      </c>
      <c r="I194" s="3" t="s">
        <v>683</v>
      </c>
      <c r="J194" s="3" t="s">
        <v>167</v>
      </c>
      <c r="K194" s="3" t="s">
        <v>75</v>
      </c>
      <c r="L194" s="3" t="s">
        <v>76</v>
      </c>
      <c r="M194" s="3"/>
      <c r="N194" s="3" t="s">
        <v>40</v>
      </c>
      <c r="O194" s="3" t="s">
        <v>1230</v>
      </c>
      <c r="P194" s="3" t="s">
        <v>1231</v>
      </c>
      <c r="Q194" s="3"/>
      <c r="R194" s="3" t="s">
        <v>1213</v>
      </c>
      <c r="S194" s="3"/>
      <c r="T194" s="3"/>
      <c r="U194" s="3"/>
      <c r="V194" s="3" t="s">
        <v>50</v>
      </c>
      <c r="W194" s="3" t="s">
        <v>50</v>
      </c>
      <c r="X194" s="3" t="s">
        <v>688</v>
      </c>
      <c r="Y194" s="3" t="s">
        <v>689</v>
      </c>
      <c r="Z194" s="3" t="s">
        <v>690</v>
      </c>
    </row>
    <row r="195" customFormat="false" ht="15" hidden="false" customHeight="false" outlineLevel="0" collapsed="false">
      <c r="A195" s="3" t="s">
        <v>1232</v>
      </c>
      <c r="B195" s="3" t="s">
        <v>1233</v>
      </c>
      <c r="C195" s="3" t="s">
        <v>1234</v>
      </c>
      <c r="D195" s="3"/>
      <c r="E195" s="3" t="s">
        <v>1235</v>
      </c>
      <c r="F195" s="3" t="s">
        <v>1236</v>
      </c>
      <c r="G195" s="3" t="s">
        <v>1236</v>
      </c>
      <c r="H195" s="3" t="s">
        <v>40</v>
      </c>
      <c r="I195" s="3" t="s">
        <v>683</v>
      </c>
      <c r="J195" s="3" t="s">
        <v>42</v>
      </c>
      <c r="K195" s="3" t="s">
        <v>43</v>
      </c>
      <c r="L195" s="3" t="s">
        <v>44</v>
      </c>
      <c r="M195" s="3" t="s">
        <v>45</v>
      </c>
      <c r="N195" s="3" t="s">
        <v>46</v>
      </c>
      <c r="O195" s="3" t="s">
        <v>1237</v>
      </c>
      <c r="P195" s="3" t="s">
        <v>1238</v>
      </c>
      <c r="Q195" s="3"/>
      <c r="R195" s="3" t="s">
        <v>49</v>
      </c>
      <c r="S195" s="3"/>
      <c r="T195" s="3"/>
      <c r="U195" s="3"/>
      <c r="V195" s="3" t="s">
        <v>50</v>
      </c>
      <c r="W195" s="3" t="s">
        <v>50</v>
      </c>
      <c r="X195" s="3" t="s">
        <v>688</v>
      </c>
      <c r="Y195" s="3" t="s">
        <v>689</v>
      </c>
      <c r="Z195" s="3" t="s">
        <v>690</v>
      </c>
    </row>
    <row r="196" customFormat="false" ht="15" hidden="false" customHeight="false" outlineLevel="0" collapsed="false">
      <c r="A196" s="3" t="s">
        <v>1239</v>
      </c>
      <c r="B196" s="3" t="s">
        <v>1240</v>
      </c>
      <c r="C196" s="3" t="s">
        <v>693</v>
      </c>
      <c r="D196" s="3"/>
      <c r="E196" s="3" t="s">
        <v>694</v>
      </c>
      <c r="F196" s="3" t="s">
        <v>695</v>
      </c>
      <c r="G196" s="3" t="s">
        <v>695</v>
      </c>
      <c r="H196" s="3" t="s">
        <v>40</v>
      </c>
      <c r="I196" s="3" t="s">
        <v>683</v>
      </c>
      <c r="J196" s="3" t="s">
        <v>42</v>
      </c>
      <c r="K196" s="3" t="s">
        <v>43</v>
      </c>
      <c r="L196" s="3" t="s">
        <v>44</v>
      </c>
      <c r="M196" s="3" t="s">
        <v>45</v>
      </c>
      <c r="N196" s="3" t="s">
        <v>46</v>
      </c>
      <c r="O196" s="3" t="s">
        <v>1241</v>
      </c>
      <c r="P196" s="3" t="s">
        <v>1242</v>
      </c>
      <c r="Q196" s="3"/>
      <c r="R196" s="3" t="s">
        <v>49</v>
      </c>
      <c r="S196" s="3"/>
      <c r="T196" s="3"/>
      <c r="U196" s="3"/>
      <c r="V196" s="3" t="s">
        <v>50</v>
      </c>
      <c r="W196" s="3" t="s">
        <v>50</v>
      </c>
      <c r="X196" s="3" t="s">
        <v>688</v>
      </c>
      <c r="Y196" s="3" t="s">
        <v>689</v>
      </c>
      <c r="Z196" s="3" t="s">
        <v>690</v>
      </c>
    </row>
    <row r="197" customFormat="false" ht="15" hidden="false" customHeight="false" outlineLevel="0" collapsed="false">
      <c r="A197" s="3" t="s">
        <v>1243</v>
      </c>
      <c r="B197" s="3" t="s">
        <v>1244</v>
      </c>
      <c r="C197" s="3" t="s">
        <v>700</v>
      </c>
      <c r="D197" s="3"/>
      <c r="E197" s="3" t="s">
        <v>105</v>
      </c>
      <c r="F197" s="3" t="s">
        <v>89</v>
      </c>
      <c r="G197" s="3" t="s">
        <v>89</v>
      </c>
      <c r="H197" s="3" t="s">
        <v>40</v>
      </c>
      <c r="I197" s="3" t="s">
        <v>683</v>
      </c>
      <c r="J197" s="3" t="s">
        <v>42</v>
      </c>
      <c r="K197" s="3" t="s">
        <v>43</v>
      </c>
      <c r="L197" s="3" t="s">
        <v>44</v>
      </c>
      <c r="M197" s="3" t="s">
        <v>45</v>
      </c>
      <c r="N197" s="3" t="s">
        <v>46</v>
      </c>
      <c r="O197" s="3" t="s">
        <v>1245</v>
      </c>
      <c r="P197" s="3" t="s">
        <v>1246</v>
      </c>
      <c r="Q197" s="3"/>
      <c r="R197" s="3" t="s">
        <v>49</v>
      </c>
      <c r="S197" s="3"/>
      <c r="T197" s="3"/>
      <c r="U197" s="3"/>
      <c r="V197" s="3" t="s">
        <v>50</v>
      </c>
      <c r="W197" s="3" t="s">
        <v>50</v>
      </c>
      <c r="X197" s="3" t="s">
        <v>688</v>
      </c>
      <c r="Y197" s="3" t="s">
        <v>689</v>
      </c>
      <c r="Z197" s="3" t="s">
        <v>690</v>
      </c>
    </row>
    <row r="198" customFormat="false" ht="15" hidden="false" customHeight="false" outlineLevel="0" collapsed="false">
      <c r="A198" s="3" t="s">
        <v>1247</v>
      </c>
      <c r="B198" s="3" t="s">
        <v>1248</v>
      </c>
      <c r="C198" s="3" t="s">
        <v>757</v>
      </c>
      <c r="D198" s="3"/>
      <c r="E198" s="3" t="s">
        <v>758</v>
      </c>
      <c r="F198" s="3" t="s">
        <v>89</v>
      </c>
      <c r="G198" s="3" t="s">
        <v>89</v>
      </c>
      <c r="H198" s="3" t="s">
        <v>40</v>
      </c>
      <c r="I198" s="3" t="s">
        <v>683</v>
      </c>
      <c r="J198" s="3" t="s">
        <v>42</v>
      </c>
      <c r="K198" s="3" t="s">
        <v>43</v>
      </c>
      <c r="L198" s="3" t="s">
        <v>44</v>
      </c>
      <c r="M198" s="3" t="s">
        <v>45</v>
      </c>
      <c r="N198" s="3" t="s">
        <v>46</v>
      </c>
      <c r="O198" s="3" t="s">
        <v>1249</v>
      </c>
      <c r="P198" s="3" t="s">
        <v>1250</v>
      </c>
      <c r="Q198" s="3"/>
      <c r="R198" s="3" t="s">
        <v>49</v>
      </c>
      <c r="S198" s="3"/>
      <c r="T198" s="3"/>
      <c r="U198" s="3"/>
      <c r="V198" s="3" t="s">
        <v>50</v>
      </c>
      <c r="W198" s="3" t="s">
        <v>50</v>
      </c>
      <c r="X198" s="3" t="s">
        <v>688</v>
      </c>
      <c r="Y198" s="3" t="s">
        <v>689</v>
      </c>
      <c r="Z198" s="3" t="s">
        <v>690</v>
      </c>
    </row>
    <row r="199" customFormat="false" ht="15" hidden="false" customHeight="false" outlineLevel="0" collapsed="false">
      <c r="A199" s="3" t="s">
        <v>1251</v>
      </c>
      <c r="B199" s="3" t="s">
        <v>1252</v>
      </c>
      <c r="C199" s="3" t="s">
        <v>1253</v>
      </c>
      <c r="D199" s="3"/>
      <c r="E199" s="3" t="s">
        <v>1254</v>
      </c>
      <c r="F199" s="3" t="s">
        <v>89</v>
      </c>
      <c r="G199" s="3" t="s">
        <v>89</v>
      </c>
      <c r="H199" s="3" t="s">
        <v>40</v>
      </c>
      <c r="I199" s="3" t="s">
        <v>683</v>
      </c>
      <c r="J199" s="3" t="s">
        <v>42</v>
      </c>
      <c r="K199" s="3" t="s">
        <v>43</v>
      </c>
      <c r="L199" s="3" t="s">
        <v>44</v>
      </c>
      <c r="M199" s="3" t="s">
        <v>45</v>
      </c>
      <c r="N199" s="3" t="s">
        <v>46</v>
      </c>
      <c r="O199" s="3" t="s">
        <v>1255</v>
      </c>
      <c r="P199" s="3" t="s">
        <v>1256</v>
      </c>
      <c r="Q199" s="3"/>
      <c r="R199" s="3" t="s">
        <v>49</v>
      </c>
      <c r="S199" s="3"/>
      <c r="T199" s="3"/>
      <c r="U199" s="3"/>
      <c r="V199" s="3" t="s">
        <v>50</v>
      </c>
      <c r="W199" s="3" t="s">
        <v>50</v>
      </c>
      <c r="X199" s="3" t="s">
        <v>688</v>
      </c>
      <c r="Y199" s="3" t="s">
        <v>689</v>
      </c>
      <c r="Z199" s="3" t="s">
        <v>690</v>
      </c>
    </row>
    <row r="200" customFormat="false" ht="15" hidden="false" customHeight="false" outlineLevel="0" collapsed="false">
      <c r="A200" s="3" t="s">
        <v>1257</v>
      </c>
      <c r="B200" s="3" t="s">
        <v>1258</v>
      </c>
      <c r="C200" s="3" t="s">
        <v>717</v>
      </c>
      <c r="D200" s="3"/>
      <c r="E200" s="3" t="s">
        <v>718</v>
      </c>
      <c r="F200" s="3" t="s">
        <v>719</v>
      </c>
      <c r="G200" s="3" t="s">
        <v>719</v>
      </c>
      <c r="H200" s="3" t="s">
        <v>40</v>
      </c>
      <c r="I200" s="3" t="s">
        <v>683</v>
      </c>
      <c r="J200" s="3" t="s">
        <v>42</v>
      </c>
      <c r="K200" s="3" t="s">
        <v>43</v>
      </c>
      <c r="L200" s="3" t="s">
        <v>44</v>
      </c>
      <c r="M200" s="3" t="s">
        <v>45</v>
      </c>
      <c r="N200" s="3" t="s">
        <v>46</v>
      </c>
      <c r="O200" s="3" t="s">
        <v>1259</v>
      </c>
      <c r="P200" s="3" t="s">
        <v>1260</v>
      </c>
      <c r="Q200" s="3"/>
      <c r="R200" s="3" t="s">
        <v>49</v>
      </c>
      <c r="S200" s="3"/>
      <c r="T200" s="3"/>
      <c r="U200" s="3"/>
      <c r="V200" s="3" t="s">
        <v>50</v>
      </c>
      <c r="W200" s="3" t="s">
        <v>50</v>
      </c>
      <c r="X200" s="3" t="s">
        <v>688</v>
      </c>
      <c r="Y200" s="3" t="s">
        <v>689</v>
      </c>
      <c r="Z200" s="3" t="s">
        <v>690</v>
      </c>
    </row>
    <row r="201" customFormat="false" ht="15" hidden="false" customHeight="false" outlineLevel="0" collapsed="false">
      <c r="A201" s="3" t="s">
        <v>1261</v>
      </c>
      <c r="B201" s="3" t="s">
        <v>1262</v>
      </c>
      <c r="C201" s="3" t="s">
        <v>1263</v>
      </c>
      <c r="D201" s="3"/>
      <c r="E201" s="3" t="s">
        <v>1264</v>
      </c>
      <c r="F201" s="3" t="s">
        <v>83</v>
      </c>
      <c r="G201" s="3" t="s">
        <v>83</v>
      </c>
      <c r="H201" s="3" t="s">
        <v>40</v>
      </c>
      <c r="I201" s="3" t="s">
        <v>683</v>
      </c>
      <c r="J201" s="3" t="s">
        <v>42</v>
      </c>
      <c r="K201" s="3" t="s">
        <v>43</v>
      </c>
      <c r="L201" s="3" t="s">
        <v>44</v>
      </c>
      <c r="M201" s="3" t="s">
        <v>45</v>
      </c>
      <c r="N201" s="3" t="s">
        <v>46</v>
      </c>
      <c r="O201" s="3" t="s">
        <v>1265</v>
      </c>
      <c r="P201" s="3" t="s">
        <v>1266</v>
      </c>
      <c r="Q201" s="3"/>
      <c r="R201" s="3" t="s">
        <v>49</v>
      </c>
      <c r="S201" s="3"/>
      <c r="T201" s="3"/>
      <c r="U201" s="3"/>
      <c r="V201" s="3" t="s">
        <v>50</v>
      </c>
      <c r="W201" s="3" t="s">
        <v>50</v>
      </c>
      <c r="X201" s="3" t="s">
        <v>688</v>
      </c>
      <c r="Y201" s="3" t="s">
        <v>689</v>
      </c>
      <c r="Z201" s="3" t="s">
        <v>690</v>
      </c>
    </row>
    <row r="202" customFormat="false" ht="15" hidden="false" customHeight="false" outlineLevel="0" collapsed="false">
      <c r="A202" s="3" t="s">
        <v>1267</v>
      </c>
      <c r="B202" s="3" t="s">
        <v>1268</v>
      </c>
      <c r="C202" s="3" t="s">
        <v>1269</v>
      </c>
      <c r="D202" s="3"/>
      <c r="E202" s="3" t="s">
        <v>1270</v>
      </c>
      <c r="F202" s="3" t="s">
        <v>83</v>
      </c>
      <c r="G202" s="3" t="s">
        <v>83</v>
      </c>
      <c r="H202" s="3" t="s">
        <v>40</v>
      </c>
      <c r="I202" s="3" t="s">
        <v>683</v>
      </c>
      <c r="J202" s="3" t="s">
        <v>122</v>
      </c>
      <c r="K202" s="3" t="s">
        <v>75</v>
      </c>
      <c r="L202" s="3" t="s">
        <v>76</v>
      </c>
      <c r="M202" s="3"/>
      <c r="N202" s="3" t="s">
        <v>40</v>
      </c>
      <c r="O202" s="3" t="s">
        <v>1271</v>
      </c>
      <c r="P202" s="3" t="s">
        <v>1272</v>
      </c>
      <c r="Q202" s="3"/>
      <c r="R202" s="3" t="s">
        <v>126</v>
      </c>
      <c r="S202" s="3"/>
      <c r="T202" s="3"/>
      <c r="U202" s="3"/>
      <c r="V202" s="3" t="s">
        <v>50</v>
      </c>
      <c r="W202" s="3" t="s">
        <v>50</v>
      </c>
      <c r="X202" s="3" t="s">
        <v>688</v>
      </c>
      <c r="Y202" s="3" t="s">
        <v>689</v>
      </c>
      <c r="Z202" s="3" t="s">
        <v>690</v>
      </c>
    </row>
    <row r="203" customFormat="false" ht="15" hidden="false" customHeight="false" outlineLevel="0" collapsed="false">
      <c r="A203" s="3" t="s">
        <v>1273</v>
      </c>
      <c r="B203" s="3" t="s">
        <v>1274</v>
      </c>
      <c r="C203" s="3" t="s">
        <v>757</v>
      </c>
      <c r="D203" s="3"/>
      <c r="E203" s="3" t="s">
        <v>758</v>
      </c>
      <c r="F203" s="3" t="s">
        <v>89</v>
      </c>
      <c r="G203" s="3" t="s">
        <v>89</v>
      </c>
      <c r="H203" s="3" t="s">
        <v>40</v>
      </c>
      <c r="I203" s="3" t="s">
        <v>683</v>
      </c>
      <c r="J203" s="3" t="s">
        <v>122</v>
      </c>
      <c r="K203" s="3" t="s">
        <v>75</v>
      </c>
      <c r="L203" s="3" t="s">
        <v>76</v>
      </c>
      <c r="M203" s="3"/>
      <c r="N203" s="3" t="s">
        <v>40</v>
      </c>
      <c r="O203" s="3" t="s">
        <v>1275</v>
      </c>
      <c r="P203" s="3" t="s">
        <v>1276</v>
      </c>
      <c r="Q203" s="3"/>
      <c r="R203" s="3" t="s">
        <v>126</v>
      </c>
      <c r="S203" s="3"/>
      <c r="T203" s="3"/>
      <c r="U203" s="3"/>
      <c r="V203" s="3" t="s">
        <v>50</v>
      </c>
      <c r="W203" s="3" t="s">
        <v>50</v>
      </c>
      <c r="X203" s="3" t="s">
        <v>688</v>
      </c>
      <c r="Y203" s="3" t="s">
        <v>689</v>
      </c>
      <c r="Z203" s="3" t="s">
        <v>690</v>
      </c>
    </row>
    <row r="204" customFormat="false" ht="15" hidden="false" customHeight="false" outlineLevel="0" collapsed="false">
      <c r="A204" s="3" t="s">
        <v>1277</v>
      </c>
      <c r="B204" s="3" t="s">
        <v>1278</v>
      </c>
      <c r="C204" s="3" t="s">
        <v>1279</v>
      </c>
      <c r="D204" s="3"/>
      <c r="E204" s="3" t="s">
        <v>1280</v>
      </c>
      <c r="F204" s="3" t="s">
        <v>89</v>
      </c>
      <c r="G204" s="3" t="s">
        <v>89</v>
      </c>
      <c r="H204" s="3" t="s">
        <v>40</v>
      </c>
      <c r="I204" s="3" t="s">
        <v>683</v>
      </c>
      <c r="J204" s="3" t="s">
        <v>122</v>
      </c>
      <c r="K204" s="3" t="s">
        <v>75</v>
      </c>
      <c r="L204" s="3" t="s">
        <v>76</v>
      </c>
      <c r="M204" s="3"/>
      <c r="N204" s="3" t="s">
        <v>40</v>
      </c>
      <c r="O204" s="3" t="s">
        <v>1281</v>
      </c>
      <c r="P204" s="3" t="s">
        <v>1282</v>
      </c>
      <c r="Q204" s="3"/>
      <c r="R204" s="3" t="s">
        <v>126</v>
      </c>
      <c r="S204" s="3"/>
      <c r="T204" s="3"/>
      <c r="U204" s="3"/>
      <c r="V204" s="3" t="s">
        <v>50</v>
      </c>
      <c r="W204" s="3" t="s">
        <v>50</v>
      </c>
      <c r="X204" s="3" t="s">
        <v>688</v>
      </c>
      <c r="Y204" s="3" t="s">
        <v>689</v>
      </c>
      <c r="Z204" s="3" t="s">
        <v>690</v>
      </c>
    </row>
  </sheetData>
  <autoFilter ref="A1:Z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1283</v>
      </c>
    </row>
    <row r="3" customFormat="false" ht="15" hidden="false" customHeight="false" outlineLevel="0" collapsed="false">
      <c r="A3" s="2" t="s">
        <v>1284</v>
      </c>
      <c r="B3" s="2" t="s">
        <v>1285</v>
      </c>
      <c r="C3" s="2" t="s">
        <v>1286</v>
      </c>
    </row>
    <row r="4" customFormat="false" ht="15" hidden="false" customHeight="false" outlineLevel="0" collapsed="false">
      <c r="A4" s="7" t="s">
        <v>1287</v>
      </c>
      <c r="B4" s="7" t="s">
        <v>1288</v>
      </c>
      <c r="C4" s="7" t="s">
        <v>1289</v>
      </c>
    </row>
    <row r="5" customFormat="false" ht="15" hidden="false" customHeight="false" outlineLevel="0" collapsed="false">
      <c r="A5" s="7" t="s">
        <v>1290</v>
      </c>
      <c r="B5" s="7" t="s">
        <v>46</v>
      </c>
      <c r="C5" s="7" t="s">
        <v>1291</v>
      </c>
    </row>
    <row r="6" customFormat="false" ht="15" hidden="false" customHeight="false" outlineLevel="0" collapsed="false">
      <c r="A6" s="7" t="s">
        <v>1292</v>
      </c>
      <c r="B6" s="7" t="s">
        <v>1293</v>
      </c>
      <c r="C6" s="7" t="s">
        <v>1294</v>
      </c>
    </row>
    <row r="7" customFormat="false" ht="15" hidden="false" customHeight="false" outlineLevel="0" collapsed="false">
      <c r="A7" s="7" t="s">
        <v>1295</v>
      </c>
      <c r="B7" s="7" t="s">
        <v>1293</v>
      </c>
      <c r="C7" s="7" t="s">
        <v>1296</v>
      </c>
    </row>
    <row r="8" customFormat="false" ht="15" hidden="false" customHeight="false" outlineLevel="0" collapsed="false">
      <c r="A8" s="7" t="s">
        <v>1297</v>
      </c>
      <c r="B8" s="7" t="s">
        <v>46</v>
      </c>
      <c r="C8" s="7" t="s">
        <v>1298</v>
      </c>
    </row>
    <row r="9" customFormat="false" ht="15" hidden="false" customHeight="false" outlineLevel="0" collapsed="false">
      <c r="A9" s="7" t="s">
        <v>1299</v>
      </c>
      <c r="B9" s="7" t="s">
        <v>1300</v>
      </c>
      <c r="C9" s="7" t="s">
        <v>1301</v>
      </c>
    </row>
    <row r="10" customFormat="false" ht="15" hidden="false" customHeight="false" outlineLevel="0" collapsed="false">
      <c r="A10" s="7" t="s">
        <v>1302</v>
      </c>
      <c r="B10" s="7" t="s">
        <v>46</v>
      </c>
      <c r="C10" s="7" t="s">
        <v>1303</v>
      </c>
    </row>
    <row r="11" customFormat="false" ht="15" hidden="false" customHeight="false" outlineLevel="0" collapsed="false">
      <c r="A11" s="7" t="s">
        <v>1304</v>
      </c>
      <c r="B11" s="7" t="s">
        <v>1288</v>
      </c>
      <c r="C11" s="7" t="s">
        <v>1305</v>
      </c>
    </row>
    <row r="12" customFormat="false" ht="15" hidden="false" customHeight="false" outlineLevel="0" collapsed="false">
      <c r="A12" s="7" t="s">
        <v>1306</v>
      </c>
      <c r="B12" s="7" t="s">
        <v>1300</v>
      </c>
      <c r="C12" s="7" t="s">
        <v>1307</v>
      </c>
    </row>
    <row r="13" customFormat="false" ht="15" hidden="false" customHeight="false" outlineLevel="0" collapsed="false">
      <c r="A13" s="7" t="s">
        <v>1308</v>
      </c>
      <c r="B13" s="7" t="s">
        <v>1300</v>
      </c>
      <c r="C13" s="7" t="s">
        <v>1309</v>
      </c>
    </row>
    <row r="14" customFormat="false" ht="15" hidden="false" customHeight="false" outlineLevel="0" collapsed="false">
      <c r="A14" s="7" t="s">
        <v>1310</v>
      </c>
      <c r="B14" s="7" t="s">
        <v>1288</v>
      </c>
      <c r="C14" s="7" t="s">
        <v>1311</v>
      </c>
    </row>
    <row r="15" customFormat="false" ht="15" hidden="false" customHeight="false" outlineLevel="0" collapsed="false">
      <c r="A15" s="7" t="s">
        <v>1312</v>
      </c>
      <c r="B15" s="7" t="s">
        <v>1300</v>
      </c>
      <c r="C15" s="7" t="s">
        <v>1313</v>
      </c>
    </row>
    <row r="16" customFormat="false" ht="15" hidden="false" customHeight="false" outlineLevel="0" collapsed="false">
      <c r="A16" s="7" t="s">
        <v>1314</v>
      </c>
      <c r="B16" s="7" t="s">
        <v>1300</v>
      </c>
      <c r="C16" s="7" t="s">
        <v>1315</v>
      </c>
    </row>
    <row r="17" customFormat="false" ht="15" hidden="false" customHeight="false" outlineLevel="0" collapsed="false">
      <c r="A17" s="7" t="s">
        <v>1316</v>
      </c>
      <c r="B17" s="7" t="s">
        <v>1300</v>
      </c>
      <c r="C17" s="7" t="s">
        <v>1317</v>
      </c>
    </row>
    <row r="18" customFormat="false" ht="15" hidden="false" customHeight="false" outlineLevel="0" collapsed="false">
      <c r="A18" s="7" t="s">
        <v>1318</v>
      </c>
      <c r="B18" s="7" t="s">
        <v>1300</v>
      </c>
      <c r="C18" s="7" t="s">
        <v>1319</v>
      </c>
    </row>
    <row r="19" customFormat="false" ht="15" hidden="false" customHeight="false" outlineLevel="0" collapsed="false">
      <c r="A19" s="7" t="s">
        <v>1320</v>
      </c>
      <c r="B19" s="7" t="s">
        <v>1300</v>
      </c>
      <c r="C19" s="7" t="s">
        <v>1321</v>
      </c>
    </row>
    <row r="20" customFormat="false" ht="15" hidden="false" customHeight="false" outlineLevel="0" collapsed="false">
      <c r="A20" s="7" t="s">
        <v>1322</v>
      </c>
      <c r="B20" s="7" t="s">
        <v>1300</v>
      </c>
      <c r="C20" s="7" t="s">
        <v>1323</v>
      </c>
    </row>
    <row r="21" customFormat="false" ht="15" hidden="false" customHeight="false" outlineLevel="0" collapsed="false">
      <c r="A21" s="7" t="s">
        <v>1324</v>
      </c>
      <c r="B21" s="7" t="s">
        <v>1300</v>
      </c>
      <c r="C21" s="7" t="s">
        <v>1325</v>
      </c>
    </row>
    <row r="22" customFormat="false" ht="15" hidden="false" customHeight="false" outlineLevel="0" collapsed="false">
      <c r="A22" s="7" t="s">
        <v>1326</v>
      </c>
      <c r="B22" s="7" t="s">
        <v>1300</v>
      </c>
      <c r="C22" s="7" t="s">
        <v>1327</v>
      </c>
    </row>
    <row r="23" customFormat="false" ht="15" hidden="false" customHeight="false" outlineLevel="0" collapsed="false">
      <c r="A23" s="7" t="s">
        <v>1328</v>
      </c>
      <c r="B23" s="7" t="s">
        <v>1300</v>
      </c>
      <c r="C23" s="7" t="s">
        <v>1329</v>
      </c>
    </row>
    <row r="25" customFormat="false" ht="15" hidden="false" customHeight="false" outlineLevel="0" collapsed="false">
      <c r="A25" s="0" t="s">
        <v>1330</v>
      </c>
    </row>
    <row r="26" customFormat="false" ht="15" hidden="false" customHeight="false" outlineLevel="0" collapsed="false">
      <c r="B26" s="0" t="s">
        <v>1290</v>
      </c>
      <c r="C26" s="0" t="s">
        <v>371</v>
      </c>
    </row>
    <row r="27" customFormat="false" ht="15" hidden="false" customHeight="false" outlineLevel="0" collapsed="false">
      <c r="B27" s="0" t="s">
        <v>1295</v>
      </c>
      <c r="C27" s="0" t="s">
        <v>372</v>
      </c>
    </row>
    <row r="28" customFormat="false" ht="15" hidden="false" customHeight="false" outlineLevel="0" collapsed="false">
      <c r="B28" s="0" t="s">
        <v>1297</v>
      </c>
      <c r="C28" s="0" t="s">
        <v>1331</v>
      </c>
    </row>
    <row r="29" customFormat="false" ht="15" hidden="false" customHeight="false" outlineLevel="0" collapsed="false">
      <c r="B29" s="0" t="s">
        <v>1302</v>
      </c>
      <c r="C29" s="0" t="s">
        <v>166</v>
      </c>
    </row>
    <row r="30" customFormat="false" ht="15" hidden="false" customHeight="false" outlineLevel="0" collapsed="false">
      <c r="B30" s="0" t="s">
        <v>1308</v>
      </c>
      <c r="C30" s="0" t="s">
        <v>110</v>
      </c>
    </row>
    <row r="31" customFormat="false" ht="15" hidden="false" customHeight="false" outlineLevel="0" collapsed="false">
      <c r="B31" s="0" t="s">
        <v>1320</v>
      </c>
      <c r="C31" s="0" t="s">
        <v>1332</v>
      </c>
    </row>
    <row r="33" customFormat="false" ht="15" hidden="false" customHeight="false" outlineLevel="0" collapsed="false">
      <c r="A33" s="0" t="s">
        <v>1333</v>
      </c>
    </row>
    <row r="34" customFormat="false" ht="15" hidden="false" customHeight="false" outlineLevel="0" collapsed="false">
      <c r="A34" s="0" t="s">
        <v>1334</v>
      </c>
    </row>
    <row r="35" customFormat="false" ht="15" hidden="false" customHeight="false" outlineLevel="0" collapsed="false">
      <c r="A35" s="0" t="s">
        <v>1335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2026-08-03T19:11:55Z</dcterms:created>
  <dc:creator>openpyxl</dc:creator>
  <dc:description/>
  <dc:language>en-US</dc:language>
  <cp:lastModifiedBy/>
  <dcterms:modified xsi:type="dcterms:W3CDTF">2026-08-03T19:11:55Z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